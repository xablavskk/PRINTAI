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threadedComments/threadedComment6.xml" ContentType="application/vnd.ms-excel.threadedcomment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persons/person.xml" ContentType="application/vnd.ms-excel.person+xml"/>
  <Override PartName="/xl/sharedStrings.xml" ContentType="application/vnd.openxmlformats-officedocument.spreadsheetml.sharedStrings+xml"/>
  <Override PartName="/xl/styles.xml" ContentType="application/vnd.openxmlformats-officedocument.spreadsheetml.styles+xml"/>
  <Override PartName="/xl/threadedComments/threadedComment1.xml" ContentType="application/vnd.ms-excel.threadedcomments+xml"/>
  <Override PartName="/xl/comments1.xml" ContentType="application/vnd.openxmlformats-officedocument.spreadsheetml.comments+xml"/>
  <Override PartName="/xl/worksheets/sheet2.xml" ContentType="application/vnd.openxmlformats-officedocument.spreadsheetml.worksheet+xml"/>
  <Override PartName="/xl/threadedComments/threadedComment2.xml" ContentType="application/vnd.ms-excel.threadedcomments+xml"/>
  <Override PartName="/xl/comments2.xml" ContentType="application/vnd.openxmlformats-officedocument.spreadsheetml.comments+xml"/>
  <Override PartName="/xl/worksheets/sheet3.xml" ContentType="application/vnd.openxmlformats-officedocument.spreadsheetml.worksheet+xml"/>
  <Override PartName="/xl/threadedComments/threadedComment3.xml" ContentType="application/vnd.ms-excel.threadedcomments+xml"/>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threadedComments/threadedComment4.xml" ContentType="application/vnd.ms-excel.threadedcomments+xml"/>
  <Override PartName="/xl/comments4.xml" ContentType="application/vnd.openxmlformats-officedocument.spreadsheetml.comments+xml"/>
  <Override PartName="/xl/worksheets/sheet6.xml" ContentType="application/vnd.openxmlformats-officedocument.spreadsheetml.worksheet+xml"/>
  <Override PartName="/xl/threadedComments/threadedComment5.xml" ContentType="application/vnd.ms-excel.threadedcomments+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showHorizontalScroll="1" showVerticalScroll="1"/>
  </bookViews>
  <sheets>
    <sheet name="Equipe" sheetId="1" state="visible" r:id="rId2"/>
    <sheet name="Backlog_Produto" sheetId="2" state="visible" r:id="rId3"/>
    <sheet name="Planejamento" sheetId="3" state="visible" r:id="rId4"/>
    <sheet name="Entregas" sheetId="4" state="visible" r:id="rId5"/>
    <sheet name="Riscos" sheetId="5" state="visible" r:id="rId6"/>
    <sheet name="#Estimativa-APF#" sheetId="6" state="visible" r:id="rId7"/>
    <sheet name="#Planejamento-APF#" sheetId="7" state="visible" r:id="rId8"/>
  </sheets>
  <definedNames>
    <definedName name="_xlnm._FilterDatabase" localSheetId="0" hidden="1">Equipe!$A$3:$C$9</definedName>
    <definedName name="_xlnm._FilterDatabase" localSheetId="0" hidden="1">Equipe!$A$3:$C$9</definedName>
  </definedName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tc={004D0097-00F9-4147-A16E-009B00B3006E}</author>
  </authors>
  <commentList>
    <comment ref="A2" authorId="0" xr:uid="{004D0097-00F9-4147-A16E-009B00B3006E}">
      <text>
        <r>
          <rPr>
            <b/>
            <sz val="9"/>
            <rFont val="Tahoma"/>
          </rPr>
          <t>None:</t>
        </r>
        <r>
          <rPr>
            <sz val="9"/>
            <rFont val="Tahoma"/>
          </rPr>
          <t xml:space="preserve">
======
ID#AAAB41pieXc
tc={59bdf1ea-fc83-4965-b5f1-68f5c047a12b}    (2026-04-03 21:43:32)
[Threaded comment]
 Your version of Excel allows you to read this threaded comment; however, any edits to it will get removed if the file is opened in a newer version of Excel. Learn more: https://go.microsoft.com/fwlink/?linkid=870924
Comment:
	Preencher as células em amarelo.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tc={004F003F-005E-4E38-AF5E-000A00950067}</author>
    <author>tc={00D90055-006A-4B57-8256-00FE00AC00F5}</author>
    <author>tc={000500A7-0004-4AD9-9E6F-0099006D0072}</author>
    <author>tc={00D400B4-00D7-4105-9C65-006F00D10009}</author>
    <author>tc={00A90030-00D0-44B4-941A-000D00D3003D}</author>
    <author>tc={00CC0083-00A3-4FD8-9717-006F00F60062}</author>
    <author>tc={00E9004A-0046-4FF1-BB02-008900BD0022}</author>
    <author>tc={008E00D5-0073-4699-B42A-00BF003000FA}</author>
    <author>tc={00B000A7-002A-49F9-8001-006D005E00BA}</author>
    <author>tc={002700F9-002E-4551-9F9A-006000D50008}</author>
    <author>tc={002D0037-0083-4975-A231-005A002C00DD}</author>
  </authors>
  <commentList>
    <comment ref="A3" authorId="0" xr:uid="{004F003F-005E-4E38-AF5E-000A00950067}">
      <text>
        <r>
          <rPr>
            <b/>
            <sz val="9"/>
            <rFont val="Tahoma"/>
          </rPr>
          <t>None:</t>
        </r>
        <r>
          <rPr>
            <sz val="9"/>
            <rFont val="Tahoma"/>
          </rPr>
          <t xml:space="preserve">
======
ID#AAAB41nGtnw
tc={74c5a5b7-ec60-4eef-ab52-1b6abb7c5201}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
</t>
        </r>
      </text>
    </comment>
    <comment ref="B3" authorId="1" xr:uid="{00D90055-006A-4B57-8256-00FE00AC00F5}">
      <text>
        <r>
          <rPr>
            <b/>
            <sz val="9"/>
            <rFont val="Tahoma"/>
          </rPr>
          <t>None:</t>
        </r>
        <r>
          <rPr>
            <sz val="9"/>
            <rFont val="Tahoma"/>
          </rPr>
          <t xml:space="preserve">
======
ID#AAAB41pieWw
tc={ea2f15a6-837a-4882-9c8d-466b25f6880b}    (2026-04-03 21:43:32)
[Threaded comment]
 Your version of Excel allows you to read this threaded comment; however, any edits to it will get removed if the file is opened in a newer version of Excel. Learn more: https://go.microsoft.com/fwlink/?linkid=870924
Comment: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
</t>
        </r>
      </text>
    </comment>
    <comment ref="C3" authorId="2" xr:uid="{000500A7-0004-4AD9-9E6F-0099006D0072}">
      <text>
        <r>
          <rPr>
            <b/>
            <sz val="9"/>
            <rFont val="Tahoma"/>
          </rPr>
          <t>None:</t>
        </r>
        <r>
          <rPr>
            <sz val="9"/>
            <rFont val="Tahoma"/>
          </rPr>
          <t xml:space="preserve">
======
ID#AAAB41zX9gg
tc={1489282f-01d1-40a3-a545-a28ec29b4a27}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
</t>
        </r>
      </text>
    </comment>
    <comment ref="D3" authorId="3" xr:uid="{00D400B4-00D7-4105-9C65-006F00D10009}">
      <text>
        <r>
          <rPr>
            <b/>
            <sz val="9"/>
            <rFont val="Tahoma"/>
          </rPr>
          <t>None:</t>
        </r>
        <r>
          <rPr>
            <sz val="9"/>
            <rFont val="Tahoma"/>
          </rPr>
          <t xml:space="preserve">
======
ID#AAAB41pieW4
tc={c42c401c-8c05-4cbd-baad-da9e6c07cdb6}    (2026-04-03 21:43:32)
[Threaded comment]
 Your version of Excel allows you to read this threaded comment; however, any edits to it will get removed if the file is opened in a newer version of Excel. Learn more: https://go.microsoft.com/fwlink/?linkid=870924
Comment:
	Resultado do Planning Poker, convertido para horas.
</t>
        </r>
      </text>
    </comment>
    <comment ref="F3" authorId="4" xr:uid="{00A90030-00D0-44B4-941A-000D00D3003D}">
      <text>
        <r>
          <rPr>
            <b/>
            <sz val="9"/>
            <rFont val="Tahoma"/>
          </rPr>
          <t>None:</t>
        </r>
        <r>
          <rPr>
            <sz val="9"/>
            <rFont val="Tahoma"/>
          </rPr>
          <t xml:space="preserve">
======
ID#AAAB41pieXE
tc={370b326e-940b-4b8d-902b-c6dd295adf76}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
</t>
        </r>
      </text>
    </comment>
    <comment ref="G3" authorId="5" xr:uid="{00CC0083-00A3-4FD8-9717-006F00F60062}">
      <text>
        <r>
          <rPr>
            <b/>
            <sz val="9"/>
            <rFont val="Tahoma"/>
          </rPr>
          <t>None:</t>
        </r>
        <r>
          <rPr>
            <sz val="9"/>
            <rFont val="Tahoma"/>
          </rPr>
          <t xml:space="preserve">
======
ID#AAAB41pieWk
tc={ad5cb353-9197-47d4-ac04-de693a1d079a}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
</t>
        </r>
      </text>
    </comment>
    <comment ref="K4" authorId="6" xr:uid="{00E9004A-0046-4FF1-BB02-008900BD0022}">
      <text>
        <r>
          <rPr>
            <b/>
            <sz val="9"/>
            <rFont val="Tahoma"/>
          </rPr>
          <t>None:</t>
        </r>
        <r>
          <rPr>
            <sz val="9"/>
            <rFont val="Tahoma"/>
          </rPr>
          <t xml:space="preserve">
======
ID#AAAB41nGtnY
tc={6df3fd44-0631-492d-96ab-e22b4fed8f38}    (2026-04-03 21:43:32)
[Threaded comment]
 Your version of Excel allows you to read this threaded comment; however, any edits to it will get removed if the file is opened in a newer version of Excel. Learn more: https://go.microsoft.com/fwlink/?linkid=870924
Comment:
	Pontue de 0 a 10.
C = Complexidade Técnica: Qual a complexidade técnica (tecnologia) da história?
</t>
        </r>
      </text>
    </comment>
    <comment ref="L4" authorId="7" xr:uid="{008E00D5-0073-4699-B42A-00BF003000FA}">
      <text>
        <r>
          <rPr>
            <b/>
            <sz val="9"/>
            <rFont val="Tahoma"/>
          </rPr>
          <t>None:</t>
        </r>
        <r>
          <rPr>
            <sz val="9"/>
            <rFont val="Tahoma"/>
          </rPr>
          <t xml:space="preserve">
======
ID#AAAB41nGtoA
tc={a75b2a67-8b1f-4319-ad5a-68bea0157c89}    (2026-04-03 21:43:32)
[Threaded comment]
 Your version of Excel allows you to read this threaded comment; however, any edits to it will get removed if the file is opened in a newer version of Excel. Learn more: https://go.microsoft.com/fwlink/?linkid=870924
Comment:
	Tem prioridade as de maior peso.
</t>
        </r>
      </text>
    </comment>
    <comment ref="H4" authorId="8" xr:uid="{00B000A7-002A-49F9-8001-006D005E00BA}">
      <text>
        <r>
          <rPr>
            <b/>
            <sz val="9"/>
            <rFont val="Tahoma"/>
          </rPr>
          <t>None:</t>
        </r>
        <r>
          <rPr>
            <sz val="9"/>
            <rFont val="Tahoma"/>
          </rPr>
          <t xml:space="preserve">
======
ID#AAAB2-oO_J4
tc={d9e723ff-623d-4d7a-a540-71332d72eddf}    (2026-04-03 21:43:32)
[Threaded comment]
 Your version of Excel allows you to read this threaded comment; however, any edits to it will get removed if the file is opened in a newer version of Excel. Learn more: https://go.microsoft.com/fwlink/?linkid=870924
Comment:
	Pontue de 0 a 10.
V = Valor: Quanto de valor a história de usuário representa para o usuário final?
</t>
        </r>
      </text>
    </comment>
    <comment ref="I4" authorId="9" xr:uid="{002700F9-002E-4551-9F9A-006000D50008}">
      <text>
        <r>
          <rPr>
            <b/>
            <sz val="9"/>
            <rFont val="Tahoma"/>
          </rPr>
          <t>None:</t>
        </r>
        <r>
          <rPr>
            <sz val="9"/>
            <rFont val="Tahoma"/>
          </rPr>
          <t xml:space="preserve">
======
ID#AAAB41pieWU
tc={4f18e70b-b4e3-4c9b-8aa6-3d4264e6bf1e}    (2026-04-03 21:43:32)
[Threaded comment]
 Your version of Excel allows you to read this threaded comment; however, any edits to it will get removed if the file is opened in a newer version of Excel. Learn more: https://go.microsoft.com/fwlink/?linkid=870924
Comment:
	Pontue de 0 a 10.
R = Risco: Qual é o risco desta história não ser entregue?
</t>
        </r>
      </text>
    </comment>
    <comment ref="J4" authorId="10" xr:uid="{002D0037-0083-4975-A231-005A002C00DD}">
      <text>
        <r>
          <rPr>
            <b/>
            <sz val="9"/>
            <rFont val="Tahoma"/>
          </rPr>
          <t>None:</t>
        </r>
        <r>
          <rPr>
            <sz val="9"/>
            <rFont val="Tahoma"/>
          </rPr>
          <t xml:space="preserve">
======
ID#AAAB41zX9gs
tc={769193cb-eac1-4eaf-8f21-fff43252ab10}    (2026-04-03 21:43:32)
[Threaded comment]
 Your version of Excel allows you to read this threaded comment; however, any edits to it will get removed if the file is opened in a newer version of Excel. Learn more: https://go.microsoft.com/fwlink/?linkid=870924
Comment: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tc={00E30082-00F6-4D4B-BFA5-009200790007}</author>
    <author>tc={00CC002C-0095-4E4E-82F5-003200DB00A5}</author>
    <author>tc={0050003F-0033-410D-84C7-00D800F200AF}</author>
  </authors>
  <commentList>
    <comment ref="A3" authorId="0" xr:uid="{00E30082-00F6-4D4B-BFA5-009200790007}">
      <text>
        <r>
          <rPr>
            <b/>
            <sz val="9"/>
            <rFont val="Tahoma"/>
          </rPr>
          <t>None:</t>
        </r>
        <r>
          <rPr>
            <sz val="9"/>
            <rFont val="Tahoma"/>
          </rPr>
          <t xml:space="preserve">
======
ID#AAAB41nGtnk
tc={7926d3c2-df91-4b88-9292-3a1b3171d10e}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
</t>
        </r>
      </text>
    </comment>
    <comment ref="B4" authorId="1" xr:uid="{00CC002C-0095-4E4E-82F5-003200DB00A5}">
      <text>
        <r>
          <rPr>
            <b/>
            <sz val="9"/>
            <rFont val="Tahoma"/>
          </rPr>
          <t>None:</t>
        </r>
        <r>
          <rPr>
            <sz val="9"/>
            <rFont val="Tahoma"/>
          </rPr>
          <t xml:space="preserve">
======
ID#AAAB41pieW0
tc={6a0de85c-2b5b-4c8c-bf2b-eb7b9bab253e}    (2026-04-03 21:43:32)
[Threaded comment]
 Your version of Excel allows you to read this threaded comment; however, any edits to it will get removed if the file is opened in a newer version of Excel. Learn more: https://go.microsoft.com/fwlink/?linkid=870924
Comment: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
</t>
        </r>
      </text>
    </comment>
    <comment ref="E5" authorId="2" xr:uid="{0050003F-0033-410D-84C7-00D800F200AF}">
      <text>
        <r>
          <rPr>
            <b/>
            <sz val="9"/>
            <rFont val="Tahoma"/>
          </rPr>
          <t>None:</t>
        </r>
        <r>
          <rPr>
            <sz val="9"/>
            <rFont val="Tahoma"/>
          </rPr>
          <t xml:space="preserve">
======
ID#AAAB41zX9go
tc={219cf979-a06a-4f2d-8fa8-dfb03cd8d71d}    (2026-04-03 21:43:32)
[Threaded comment]
 Your version of Excel allows you to read this threaded comment; however, any edits to it will get removed if the file is opened in a newer version of Excel. Learn more: https://go.microsoft.com/fwlink/?linkid=870924
Comment:
	As Sprints devem ser criadas no GitHub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tc={003B00F7-00E6-41AC-B5E5-00150062006B}</author>
    <author>tc={003B0043-0088-4462-B9BE-00F1005400F9}</author>
    <author>tc={00650048-0039-45FA-90E1-006500F500C8}</author>
    <author>tc={00B100DE-00DB-4C53-9385-00DF00F4001E}</author>
    <author>tc={00790011-0094-46DF-BC04-00C200080094}</author>
    <author>tc={00FE00A1-0050-4F28-815C-00E300680097}</author>
    <author>tc={00E30082-003D-4946-81AE-000D005200E9}</author>
    <author>tc={00B0005D-004D-446A-BCBF-007D0084001E}</author>
    <author>tc={0051000D-00B8-4B57-9E79-006700C60020}</author>
  </authors>
  <commentList>
    <comment ref="B48" authorId="0" xr:uid="{003B00F7-00E6-41AC-B5E5-00150062006B}">
      <text>
        <r>
          <rPr>
            <b/>
            <sz val="9"/>
            <rFont val="Tahoma"/>
          </rPr>
          <t>None:</t>
        </r>
        <r>
          <rPr>
            <sz val="9"/>
            <rFont val="Tahoma"/>
          </rPr>
          <t xml:space="preserve">
======
ID#AAAB41nGtoE
tc={64a28d8e-8a0b-46c7-901c-3a0a616f451f}    (2026-04-03 21:43:32)
[Threaded comment]
 Your version of Excel allows you to read this threaded comment; however, any edits to it will get removed if the file is opened in a newer version of Excel. Learn more: https://go.microsoft.com/fwlink/?linkid=870924
Comment:
	Descrição do Risco
Sentença que descreve o risco, definindo o evento que, ao ocorrer, causa impacto no projeto.
</t>
        </r>
      </text>
    </comment>
    <comment ref="C48" authorId="1" xr:uid="{003B0043-0088-4462-B9BE-00F1005400F9}">
      <text>
        <r>
          <rPr>
            <b/>
            <sz val="9"/>
            <rFont val="Tahoma"/>
          </rPr>
          <t>None:</t>
        </r>
        <r>
          <rPr>
            <sz val="9"/>
            <rFont val="Tahoma"/>
          </rPr>
          <t xml:space="preserve">
======
ID#AAAB41pieW8
tc={20393b48-b96d-45a8-baae-cf6a18e8ced7}    (2026-04-03 21:43:32)
[Threaded comment]
 Your version of Excel allows you to read this threaded comment; however, any edits to it will get removed if the file is opened in a newer version of Excel. Learn more: https://go.microsoft.com/fwlink/?linkid=870924
Comment:
	Data:
Data da identificação do risco ou da alteração de seus atributos durante o monitoramento e controle de riscos.
</t>
        </r>
      </text>
    </comment>
    <comment ref="D48" authorId="2" xr:uid="{00650048-0039-45FA-90E1-006500F500C8}">
      <text>
        <r>
          <rPr>
            <b/>
            <sz val="9"/>
            <rFont val="Tahoma"/>
          </rPr>
          <t>None:</t>
        </r>
        <r>
          <rPr>
            <sz val="9"/>
            <rFont val="Tahoma"/>
          </rPr>
          <t xml:space="preserve">
======
ID#AAAB41pieWs
tc={fdce543c-8c92-4cbd-87b7-bc4faf8831e3}    (2026-04-03 21:43:32)
[Threaded comment]
 Your version of Excel allows you to read this threaded comment; however, any edits to it will get removed if the file is opened in a newer version of Excel. Learn more: https://go.microsoft.com/fwlink/?linkid=870924
Comment:
	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3" xr:uid="{00B100DE-00DB-4C53-9385-00DF00F4001E}">
      <text>
        <r>
          <rPr>
            <b/>
            <sz val="9"/>
            <rFont val="Tahoma"/>
          </rPr>
          <t>None:</t>
        </r>
        <r>
          <rPr>
            <sz val="9"/>
            <rFont val="Tahoma"/>
          </rPr>
          <t xml:space="preserve">
======
ID#AAAB41pieXg
tc={a607fabb-e538-434b-bc3d-790bdc74488c}    (2026-04-03 21:43:32)
[Threaded comment]
 Your version of Excel allows you to read this threaded comment; however, any edits to it will get removed if the file is opened in a newer version of Excel. Learn more: https://go.microsoft.com/fwlink/?linkid=870924
Comment:
	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4" xr:uid="{00790011-0094-46DF-BC04-00C200080094}">
      <text>
        <r>
          <rPr>
            <b/>
            <sz val="9"/>
            <rFont val="Tahoma"/>
          </rPr>
          <t>None:</t>
        </r>
        <r>
          <rPr>
            <sz val="9"/>
            <rFont val="Tahoma"/>
          </rPr>
          <t xml:space="preserve">
======
ID#AAAB41nGtog
tc={6e75dfa1-5340-4d5d-975f-8e5e2bd7e2e9}    (2026-04-03 21:43:32)
[Threaded comment]
 Your version of Excel allows you to read this threaded comment; however, any edits to it will get removed if the file is opened in a newer version of Excel. Learn more: https://go.microsoft.com/fwlink/?linkid=870924
Comment:
	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5" xr:uid="{00FE00A1-0050-4F28-815C-00E300680097}">
      <text>
        <r>
          <rPr>
            <b/>
            <sz val="9"/>
            <rFont val="Tahoma"/>
          </rPr>
          <t>None:</t>
        </r>
        <r>
          <rPr>
            <sz val="9"/>
            <rFont val="Tahoma"/>
          </rPr>
          <t xml:space="preserve">
======
ID#AAAB41nGtn4
tc={7fc5b332-6a2b-4f16-bcd5-f428057552a2}    (2026-04-03 21:43:32)
[Threaded comment]
 Your version of Excel allows you to read this threaded comment; however, any edits to it will get removed if the file is opened in a newer version of Excel. Learn more: https://go.microsoft.com/fwlink/?linkid=870924
Comment:
	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6" xr:uid="{00E30082-003D-4946-81AE-000D005200E9}">
      <text>
        <r>
          <rPr>
            <b/>
            <sz val="9"/>
            <rFont val="Tahoma"/>
          </rPr>
          <t>None:</t>
        </r>
        <r>
          <rPr>
            <sz val="9"/>
            <rFont val="Tahoma"/>
          </rPr>
          <t xml:space="preserve">
======
ID#AAAB41pieXA
tc={b2c5f31a-2aa1-4186-8d28-ffe739238a20}    (2026-04-03 21:43:32)
[Threaded comment]
 Your version of Excel allows you to read this threaded comment; however, any edits to it will get removed if the file is opened in a newer version of Excel. Learn more: https://go.microsoft.com/fwlink/?linkid=870924
Comment:
	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I49" authorId="7" xr:uid="{00B0005D-004D-446A-BCBF-007D0084001E}">
      <text>
        <r>
          <rPr>
            <b/>
            <sz val="9"/>
            <rFont val="Tahoma"/>
          </rPr>
          <t>None:</t>
        </r>
        <r>
          <rPr>
            <sz val="9"/>
            <rFont val="Tahoma"/>
          </rPr>
          <t xml:space="preserve">
======
ID#AAAB41nGtns
tc={a7db42fd-bb32-4be5-93a0-a86e7d967866}    (2026-04-03 21:43:32)
[Threaded comment]
 Your version of Excel allows you to read this threaded comment; however, any edits to it will get removed if the file is opened in a newer version of Excel. Learn more: https://go.microsoft.com/fwlink/?linkid=870924
Comment:
	Plano de Mitigação do Risco:
Planejamento de ações que busquem reduzir a probabilidade e/ou o impacto da ocorrência do risco
</t>
        </r>
      </text>
    </comment>
    <comment ref="J49" authorId="8" xr:uid="{0051000D-00B8-4B57-9E79-006700C60020}">
      <text>
        <r>
          <rPr>
            <b/>
            <sz val="9"/>
            <rFont val="Tahoma"/>
          </rPr>
          <t>None:</t>
        </r>
        <r>
          <rPr>
            <sz val="9"/>
            <rFont val="Tahoma"/>
          </rPr>
          <t xml:space="preserve">
======
ID#AAAB41nGtnc
tc={ef365428-0234-4709-ae90-3dde9f907714}    (2026-04-03 21:43:32)
[Threaded comment]
 Your version of Excel allows you to read this threaded comment; however, any edits to it will get removed if the file is opened in a newer version of Excel. Learn more: https://go.microsoft.com/fwlink/?linkid=870924
Comment:
	Plano de Contingência do Risco:
Estratégia de reação aos efeitos do risco, caso este venha a ocorrer.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tc={00940023-0077-44E3-996A-0070005E00AB}</author>
    <author>tc={00AF0063-00CA-447A-9143-0032009A00D1}</author>
    <author>tc={00B70044-00B2-4A9B-955A-00BB004A0077}</author>
    <author>tc={002A0074-0078-4559-AB29-000E004300D6}</author>
    <author>tc={00660052-0024-40DC-A8CD-00A000DD00FB}</author>
    <author>tc={002F0072-0007-47DE-9F88-00DC00760048}</author>
    <author>tc={002D001C-0032-442E-963E-00A000ED00F1}</author>
    <author>tc={006B00CD-00FC-4F30-93FC-00BE0028007F}</author>
    <author>tc={00DA00B4-0080-425B-BA6D-007C008E0051}</author>
    <author>tc={00CC0037-001D-47B9-B065-0014008E0016}</author>
    <author>tc={007A006C-00F4-4A6B-9C57-003500160053}</author>
    <author>tc={007E00A0-006D-4723-AEDC-0080001C00E3}</author>
    <author>tc={005900D3-00B3-4CA7-BD35-000B00190073}</author>
    <author>tc={00EE003A-0033-4C55-ABC1-00E100890002}</author>
    <author>tc={000500BC-0021-4A99-A888-0081006C0067}</author>
    <author>tc={00CA0076-00F3-4F79-B5B0-005B00C800CA}</author>
    <author>tc={004C0037-00E4-470A-840A-005600250029}</author>
    <author>tc={00FE0004-0072-41F8-9D87-004C000F00D5}</author>
    <author>tc={00380095-00E0-4602-9FBA-008C009800F3}</author>
    <author>tc={00B700D5-00B5-4E7B-8661-005700D300FC}</author>
    <author>tc={00190066-003C-4CCA-85D6-0063005A003D}</author>
    <author>tc={0062001C-0002-48EB-B59C-005C00CA0057}</author>
    <author>tc={007A007D-005A-41EC-8AD8-005E004100C0}</author>
    <author>tc={00AD0048-00DC-4E71-A2D4-007C00E60040}</author>
    <author>tc={002A00EA-00E2-4D30-9D80-003C00620075}</author>
    <author>tc={0084000A-000A-4576-87E8-0019005F0050}</author>
  </authors>
  <commentList>
    <comment ref="M11" authorId="0" xr:uid="{00940023-0077-44E3-996A-0070005E00AB}">
      <text>
        <r>
          <rPr>
            <b/>
            <sz val="9"/>
            <rFont val="Tahoma"/>
          </rPr>
          <t>None:</t>
        </r>
        <r>
          <rPr>
            <sz val="9"/>
            <rFont val="Tahoma"/>
          </rPr>
          <t xml:space="preserve">
======
ID#AAAB41nGtoQ
tc={42efd8a7-ce2f-4c54-86df-da599784b67a}    (2026-04-03 21:43:32)
[Threaded comment]
 Your version of Excel allows you to read this threaded comment; however, any edits to it will get removed if the file is opened in a newer version of Excel. Learn more: https://go.microsoft.com/fwlink/?linkid=870924
Comment: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
</t>
        </r>
      </text>
    </comment>
    <comment ref="G11" authorId="1" xr:uid="{00AF0063-00CA-447A-9143-0032009A00D1}">
      <text>
        <r>
          <rPr>
            <b/>
            <sz val="9"/>
            <rFont val="Tahoma"/>
          </rPr>
          <t>None:</t>
        </r>
        <r>
          <rPr>
            <sz val="9"/>
            <rFont val="Tahoma"/>
          </rPr>
          <t xml:space="preserve">
======
ID#AAAB41zX9g0
tc={c7e4c93a-423f-4cca-a8de-8331aa5a2bce}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2" authorId="2" xr:uid="{00B70044-00B2-4A9B-955A-00BB004A0077}">
      <text>
        <r>
          <rPr>
            <b/>
            <sz val="9"/>
            <rFont val="Tahoma"/>
          </rPr>
          <t>None:</t>
        </r>
        <r>
          <rPr>
            <sz val="9"/>
            <rFont val="Tahoma"/>
          </rPr>
          <t xml:space="preserve">
======
ID#AAAB41pieXQ
tc={cbc81530-d770-4ba5-b5ae-2e4cf5db94e7}    (2026-04-03 21:43:32)
[Threaded comment]
 Your version of Excel allows you to read this threaded comment; however, any edits to it will get removed if the file is opened in a newer version of Excel. Learn more: https://go.microsoft.com/fwlink/?linkid=870924
Comment: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G12" authorId="3" xr:uid="{002A0074-0078-4559-AB29-000E004300D6}">
      <text>
        <r>
          <rPr>
            <b/>
            <sz val="9"/>
            <rFont val="Tahoma"/>
          </rPr>
          <t>None:</t>
        </r>
        <r>
          <rPr>
            <sz val="9"/>
            <rFont val="Tahoma"/>
          </rPr>
          <t xml:space="preserve">
======
ID#AAAB41pieXU
tc={ca531d0e-ea31-4b9d-bab3-f528e6b83d22}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3" authorId="4" xr:uid="{00660052-0024-40DC-A8CD-00A000DD00FB}">
      <text>
        <r>
          <rPr>
            <b/>
            <sz val="9"/>
            <rFont val="Tahoma"/>
          </rPr>
          <t>None:</t>
        </r>
        <r>
          <rPr>
            <sz val="9"/>
            <rFont val="Tahoma"/>
          </rPr>
          <t xml:space="preserve">
======
ID#AAAB2-oO_J0
tc={c2c0880a-8533-4184-8510-8688bf6624ea}    (2026-04-03 21:43:32)
[Threaded comment]
 Your version of Excel allows you to read this threaded comment; however, any edits to it will get removed if the file is opened in a newer version of Excel. Learn more: https://go.microsoft.com/fwlink/?linkid=870924
Comment: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G13" authorId="5" xr:uid="{002F0072-0007-47DE-9F88-00DC00760048}">
      <text>
        <r>
          <rPr>
            <b/>
            <sz val="9"/>
            <rFont val="Tahoma"/>
          </rPr>
          <t>None:</t>
        </r>
        <r>
          <rPr>
            <sz val="9"/>
            <rFont val="Tahoma"/>
          </rPr>
          <t xml:space="preserve">
======
ID#AAAB41nGtng
tc={d0209eb5-1f61-4bea-b735-63bed64695e6}    (2026-04-03 21:43:32)
[Threaded comment]
 Your version of Excel allows you to read this threaded comment; however, any edits to it will get removed if the file is opened in a newer version of Excel. Learn more: https://go.microsoft.com/fwlink/?linkid=870924
Comment:
	Entradas Externas (EEs)
São processos elementares que processam dados (ou
informações de controle) que entram pela fronteira da aplicação. O objetivo principal de uma EE é manter um ou mais ALIs ou alterar o comportamento do sistema.
</t>
        </r>
      </text>
    </comment>
    <comment ref="M14" authorId="6" xr:uid="{002D001C-0032-442E-963E-00A000ED00F1}">
      <text>
        <r>
          <rPr>
            <b/>
            <sz val="9"/>
            <rFont val="Tahoma"/>
          </rPr>
          <t>None:</t>
        </r>
        <r>
          <rPr>
            <sz val="9"/>
            <rFont val="Tahoma"/>
          </rPr>
          <t xml:space="preserve">
======
ID#AAAB41pieWg
tc={7276b4f6-bdb7-418d-a3b9-2b4b9808335e}    (2026-04-03 21:43:32)
[Threaded comment]
 Your version of Excel allows you to read this threaded comment; however, any edits to it will get removed if the file is opened in a newer version of Excel. Learn more: https://go.microsoft.com/fwlink/?linkid=870924
Comment: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G14" authorId="7" xr:uid="{006B00CD-00FC-4F30-93FC-00BE0028007F}">
      <text>
        <r>
          <rPr>
            <b/>
            <sz val="9"/>
            <rFont val="Tahoma"/>
          </rPr>
          <t>None:</t>
        </r>
        <r>
          <rPr>
            <sz val="9"/>
            <rFont val="Tahoma"/>
          </rPr>
          <t xml:space="preserve">
======
ID#AAAB41nGtoI
tc={d4841029-6dfe-4c79-981d-95d4b6fa311c}    (2026-04-03 21:43:32)
[Threaded comment]
 Your version of Excel allows you to read this threaded comment; however, any edits to it will get removed if the file is opened in a newer version of Excel. Learn more: https://go.microsoft.com/fwlink/?linkid=870924
Comment: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M15" authorId="8" xr:uid="{00DA00B4-0080-425B-BA6D-007C008E0051}">
      <text>
        <r>
          <rPr>
            <b/>
            <sz val="9"/>
            <rFont val="Tahoma"/>
          </rPr>
          <t>None:</t>
        </r>
        <r>
          <rPr>
            <sz val="9"/>
            <rFont val="Tahoma"/>
          </rPr>
          <t xml:space="preserve">
======
ID#AAAB41nGtn8
tc={adbfb5fc-6695-4e08-8227-d408343c0481}    (2026-04-03 21:43:32)
[Threaded comment]
 Your version of Excel allows you to read this threaded comment; however, any edits to it will get removed if the file is opened in a newer version of Excel. Learn more: https://go.microsoft.com/fwlink/?linkid=870924
Comment: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G15" authorId="9" xr:uid="{00CC0037-001D-47B9-B065-0014008E0016}">
      <text>
        <r>
          <rPr>
            <b/>
            <sz val="9"/>
            <rFont val="Tahoma"/>
          </rPr>
          <t>None:</t>
        </r>
        <r>
          <rPr>
            <sz val="9"/>
            <rFont val="Tahoma"/>
          </rPr>
          <t xml:space="preserve">
======
ID#AAAB41zX9gc
tc={f127309a-2e49-4f79-bb6d-3e7e225a98ef}    (2026-04-03 21:43:32)
[Threaded comment]
 Your version of Excel allows you to read this threaded comment; however, any edits to it will get removed if the file is opened in a newer version of Excel. Learn more: https://go.microsoft.com/fwlink/?linkid=870924
Comment: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16" authorId="10" xr:uid="{007A006C-00F4-4A6B-9C57-003500160053}">
      <text>
        <r>
          <rPr>
            <b/>
            <sz val="9"/>
            <rFont val="Tahoma"/>
          </rPr>
          <t>None:</t>
        </r>
        <r>
          <rPr>
            <sz val="9"/>
            <rFont val="Tahoma"/>
          </rPr>
          <t xml:space="preserve">
======
ID#AAAB41zX9gw
tc={3a34cfe0-90e0-40a6-9028-47c3167bc768}    (2026-04-03 21:43:32)
[Threaded comment]
 Your version of Excel allows you to read this threaded comment; however, any edits to it will get removed if the file is opened in a newer version of Excel. Learn more: https://go.microsoft.com/fwlink/?linkid=870924
Comment: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11" xr:uid="{007E00A0-006D-4723-AEDC-0080001C00E3}">
      <text>
        <r>
          <rPr>
            <b/>
            <sz val="9"/>
            <rFont val="Tahoma"/>
          </rPr>
          <t>None:</t>
        </r>
        <r>
          <rPr>
            <sz val="9"/>
            <rFont val="Tahoma"/>
          </rPr>
          <t xml:space="preserve">
======
ID#AAAB2-oO_Jw
tc={553aa1c4-b3a8-4761-b310-dda0302a5069}    (2026-04-03 21:43:32)
[Threaded comment]
 Your version of Excel allows you to read this threaded comment; however, any edits to it will get removed if the file is opened in a newer version of Excel. Learn more: https://go.microsoft.com/fwlink/?linkid=870924
Comment: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12" xr:uid="{005900D3-00B3-4CA7-BD35-000B00190073}">
      <text>
        <r>
          <rPr>
            <b/>
            <sz val="9"/>
            <rFont val="Tahoma"/>
          </rPr>
          <t>None:</t>
        </r>
        <r>
          <rPr>
            <sz val="9"/>
            <rFont val="Tahoma"/>
          </rPr>
          <t xml:space="preserve">
======
ID#AAAB41pieWY
tc={0d79031c-4fcc-458f-bbd4-17090e5d7590}    (2026-04-03 21:43:32)
[Threaded comment]
 Your version of Excel allows you to read this threaded comment; however, any edits to it will get removed if the file is opened in a newer version of Excel. Learn more: https://go.microsoft.com/fwlink/?linkid=870924
Comment: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13" xr:uid="{00EE003A-0033-4C55-ABC1-00E100890002}">
      <text>
        <r>
          <rPr>
            <b/>
            <sz val="9"/>
            <rFont val="Tahoma"/>
          </rPr>
          <t>None:</t>
        </r>
        <r>
          <rPr>
            <sz val="9"/>
            <rFont val="Tahoma"/>
          </rPr>
          <t xml:space="preserve">
======
ID#AAAB41nGtn0
tc={960061f7-82ff-4fb3-911d-85cb1547653e}    (2026-04-03 21:43:32)
[Threaded comment]
 Your version of Excel allows you to read this threaded comment; however, any edits to it will get removed if the file is opened in a newer version of Excel. Learn more: https://go.microsoft.com/fwlink/?linkid=870924
Comment: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14" xr:uid="{000500BC-0021-4A99-A888-0081006C0067}">
      <text>
        <r>
          <rPr>
            <b/>
            <sz val="9"/>
            <rFont val="Tahoma"/>
          </rPr>
          <t>None:</t>
        </r>
        <r>
          <rPr>
            <sz val="9"/>
            <rFont val="Tahoma"/>
          </rPr>
          <t xml:space="preserve">
======
ID#AAAB41nGtno
tc={0eff5f50-e852-4d05-9284-edcaeeb2dd3f}    (2026-04-03 21:43:32)
[Threaded comment]
 Your version of Excel allows you to read this threaded comment; however, any edits to it will get removed if the file is opened in a newer version of Excel. Learn more: https://go.microsoft.com/fwlink/?linkid=870924
Comment: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15" xr:uid="{00CA0076-00F3-4F79-B5B0-005B00C800CA}">
      <text>
        <r>
          <rPr>
            <b/>
            <sz val="9"/>
            <rFont val="Tahoma"/>
          </rPr>
          <t>None:</t>
        </r>
        <r>
          <rPr>
            <sz val="9"/>
            <rFont val="Tahoma"/>
          </rPr>
          <t xml:space="preserve">
======
ID#AAAB41nGtok
tc={59ab4e03-b411-4462-a3ec-9b7d39eca127}    (2026-04-03 21:43:32)
[Threaded comment]
 Your version of Excel allows you to read this threaded comment; however, any edits to it will get removed if the file is opened in a newer version of Excel. Learn more: https://go.microsoft.com/fwlink/?linkid=870924
Comment: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16" xr:uid="{004C0037-00E4-470A-840A-005600250029}">
      <text>
        <r>
          <rPr>
            <b/>
            <sz val="9"/>
            <rFont val="Tahoma"/>
          </rPr>
          <t>None:</t>
        </r>
        <r>
          <rPr>
            <sz val="9"/>
            <rFont val="Tahoma"/>
          </rPr>
          <t xml:space="preserve">
======
ID#AAAB41nGtoU
tc={0b8e5ec9-90d5-4bcf-9ab4-eb6c566eb24e}    (2026-04-03 21:43:32)
[Threaded comment]
 Your version of Excel allows you to read this threaded comment; however, any edits to it will get removed if the file is opened in a newer version of Excel. Learn more: https://go.microsoft.com/fwlink/?linkid=870924
Comment: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 ref="A7" authorId="17" xr:uid="{00FE0004-0072-41F8-9D87-004C000F00D5}">
      <text>
        <r>
          <rPr>
            <b/>
            <sz val="9"/>
            <rFont val="Tahoma"/>
          </rPr>
          <t>None:</t>
        </r>
        <r>
          <rPr>
            <sz val="9"/>
            <rFont val="Tahoma"/>
          </rPr>
          <t xml:space="preserve">
======
ID#AAAB41pieXM
tc={819842e6-5647-4f85-aed1-c85b2cc1b739}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M7" authorId="18" xr:uid="{00380095-00E0-4602-9FBA-008C009800F3}">
      <text>
        <r>
          <rPr>
            <b/>
            <sz val="9"/>
            <rFont val="Tahoma"/>
          </rPr>
          <t>None:</t>
        </r>
        <r>
          <rPr>
            <sz val="9"/>
            <rFont val="Tahoma"/>
          </rPr>
          <t xml:space="preserve">
======
ID#AAAB41pieXY
tc={ab41a7dd-7d2d-43ea-8c4b-11313f4668cb}    (2026-04-03 21:43:32)
[Threaded comment]
 Your version of Excel allows you to read this threaded comment; however, any edits to it will get removed if the file is opened in a newer version of Excel. Learn more: https://go.microsoft.com/fwlink/?linkid=870924
Comment: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D7" authorId="19" xr:uid="{00B700D5-00B5-4E7B-8661-005700D300FC}">
      <text>
        <r>
          <rPr>
            <b/>
            <sz val="9"/>
            <rFont val="Tahoma"/>
          </rPr>
          <t>None:</t>
        </r>
        <r>
          <rPr>
            <sz val="9"/>
            <rFont val="Tahoma"/>
          </rPr>
          <t xml:space="preserve">
======
ID#AAAB41nGtoc
tc={969f4144-aa6b-491a-9e6c-483f50fc3b48}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20" xr:uid="{00190066-003C-4CCA-85D6-0063005A003D}">
      <text>
        <r>
          <rPr>
            <b/>
            <sz val="9"/>
            <rFont val="Tahoma"/>
          </rPr>
          <t>None:</t>
        </r>
        <r>
          <rPr>
            <sz val="9"/>
            <rFont val="Tahoma"/>
          </rPr>
          <t xml:space="preserve">
======
ID#AAAB41pieWo
tc={669d0c38-786b-4140-a032-b523989d928c}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N8" authorId="21" xr:uid="{0062001C-0002-48EB-B59C-005C00CA0057}">
      <text>
        <r>
          <rPr>
            <b/>
            <sz val="9"/>
            <rFont val="Tahoma"/>
          </rPr>
          <t>None:</t>
        </r>
        <r>
          <rPr>
            <sz val="9"/>
            <rFont val="Tahoma"/>
          </rPr>
          <t xml:space="preserve">
======
ID#AAAB2-oO_J8
tc={82efe7dd-0bf1-4393-ac28-d04f318861fc}    (2026-04-03 21:43:32)
[Threaded comment]
 Your version of Excel allows you to read this threaded comment; however, any edits to it will get removed if the file is opened in a newer version of Excel. Learn more: https://go.microsoft.com/fwlink/?linkid=870924
Comment:
	Grau de Influência
0 (nenhuma influência)
5 (forte influência)
</t>
        </r>
      </text>
    </comment>
    <comment ref="M9" authorId="22" xr:uid="{007A007D-005A-41EC-8AD8-005E004100C0}">
      <text>
        <r>
          <rPr>
            <b/>
            <sz val="9"/>
            <rFont val="Tahoma"/>
          </rPr>
          <t>None:</t>
        </r>
        <r>
          <rPr>
            <sz val="9"/>
            <rFont val="Tahoma"/>
          </rPr>
          <t xml:space="preserve">
======
ID#AAAB41pieWc
tc={1a7d9b61-e74f-4f52-8fd3-1ab4d861a9a6}    (2026-04-03 21:43:32)
[Threaded comment]
 Your version of Excel allows you to read this threaded comment; however, any edits to it will get removed if the file is opened in a newer version of Excel. Learn more: https://go.microsoft.com/fwlink/?linkid=870924
Comment: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G9" authorId="23" xr:uid="{00AD0048-00DC-4E71-A2D4-007C00E60040}">
      <text>
        <r>
          <rPr>
            <b/>
            <sz val="9"/>
            <rFont val="Tahoma"/>
          </rPr>
          <t>None:</t>
        </r>
        <r>
          <rPr>
            <sz val="9"/>
            <rFont val="Tahoma"/>
          </rPr>
          <t xml:space="preserve">
======
ID#AAAB41nGtoY
tc={c79f0a36-e587-4f36-ae6a-52aac41436c1}    (2026-04-03 21:43:32)
[Threaded comment]
 Your version of Excel allows you to read this threaded comment; however, any edits to it will get removed if the file is opened in a newer version of Excel. Learn more: https://go.microsoft.com/fwlink/?linkid=870924
Comment:
	Arquivo Lógico Interno (ALI)
São arquivos/tabelas mantidas dentro da fronteira da aplicação, isto é, armazena dados mantidos através de um ou mais processos elementares da aplicação.
</t>
        </r>
      </text>
    </comment>
    <comment ref="M10" authorId="24" xr:uid="{002A00EA-00E2-4D30-9D80-003C00620075}">
      <text>
        <r>
          <rPr>
            <b/>
            <sz val="9"/>
            <rFont val="Tahoma"/>
          </rPr>
          <t>None:</t>
        </r>
        <r>
          <rPr>
            <sz val="9"/>
            <rFont val="Tahoma"/>
          </rPr>
          <t xml:space="preserve">
======
ID#AAAB41pieXI
tc={e09d63f9-48b4-4647-af8a-252797f4371e}    (2026-04-03 21:43:32)
[Threaded comment]
 Your version of Excel allows you to read this threaded comment; however, any edits to it will get removed if the file is opened in a newer version of Excel. Learn more: https://go.microsoft.com/fwlink/?linkid=870924
Comment: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G10" authorId="25" xr:uid="{0084000A-000A-4576-87E8-0019005F0050}">
      <text>
        <r>
          <rPr>
            <b/>
            <sz val="9"/>
            <rFont val="Tahoma"/>
          </rPr>
          <t>None:</t>
        </r>
        <r>
          <rPr>
            <sz val="9"/>
            <rFont val="Tahoma"/>
          </rPr>
          <t xml:space="preserve">
======
ID#AAAB41nGtoM
tc={074ee134-b988-4808-ba12-98babec0bbc0}    (2026-04-03 21:43:32)
[Threaded comment]
 Your version of Excel allows you to read this threaded comment; however, any edits to it will get removed if the file is opened in a newer version of Excel. Learn more: https://go.microsoft.com/fwlink/?linkid=870924
Comment: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tc={003400FE-00B7-47A0-96C8-000000100096}</author>
  </authors>
  <commentList>
    <comment ref="A3" authorId="0" xr:uid="{003400FE-00B7-47A0-96C8-000000100096}">
      <text>
        <r>
          <rPr>
            <b/>
            <sz val="9"/>
            <rFont val="Tahoma"/>
          </rPr>
          <t>None:</t>
        </r>
        <r>
          <rPr>
            <sz val="9"/>
            <rFont val="Tahoma"/>
          </rPr>
          <t xml:space="preserve">
======
ID#AAAB41zX9gk
tc={293284de-a8ab-4e41-8535-960d23d45965}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
</t>
        </r>
      </text>
    </comment>
  </commentList>
</comments>
</file>

<file path=xl/sharedStrings.xml><?xml version="1.0" encoding="utf-8"?>
<sst xmlns="http://schemas.openxmlformats.org/spreadsheetml/2006/main" count="319" uniqueCount="319">
  <si>
    <t>Equipe</t>
  </si>
  <si>
    <t>PRINTAI</t>
  </si>
  <si>
    <t>Papel</t>
  </si>
  <si>
    <t>Nome</t>
  </si>
  <si>
    <t>E-mail</t>
  </si>
  <si>
    <t xml:space="preserve">Scrum Master</t>
  </si>
  <si>
    <t xml:space="preserve">Mario Henrique M A Pedrao</t>
  </si>
  <si>
    <t>mario.p@aluno.ifsp.edu.br</t>
  </si>
  <si>
    <t>Owner</t>
  </si>
  <si>
    <t xml:space="preserve">Adriano Camocardi</t>
  </si>
  <si>
    <t>junior.camocardi@aluno.ifsp.edu.br</t>
  </si>
  <si>
    <t>Desenvolvedor</t>
  </si>
  <si>
    <t xml:space="preserve">Diogo Acioli</t>
  </si>
  <si>
    <t>acioli.d@aluno.ifsp.edu.br</t>
  </si>
  <si>
    <t xml:space="preserve">Lucas Gabriel</t>
  </si>
  <si>
    <t>andrade.ferreira1@aluno.ifsp.edu.br</t>
  </si>
  <si>
    <t xml:space="preserve">Backlog do Produto</t>
  </si>
  <si>
    <t xml:space="preserve">Priorização VRDC</t>
  </si>
  <si>
    <t xml:space="preserve">Este Backlog é uma sugestão de tarefas baseado nas tarefas do SpinOff , mas pode ser complementado com outras tarefas que forem necessárias para a execução do projeto.
Desse modo, basta inserir os casos de uso/histórias específicos do projeto.</t>
  </si>
  <si>
    <t xml:space="preserve">A priorização é importante para saber o que entregar primeiro ou desenvolver primeiro. O Owner ou o próprio cliente são importantes nessa decisão. Isso vai ajudar a planejar os Sprints.</t>
  </si>
  <si>
    <t>Id</t>
  </si>
  <si>
    <t>Fases</t>
  </si>
  <si>
    <t xml:space="preserve">Tarefas (Casos de Uso/Histórias de Usuário/Tarefas do Processo/Outras Tarefas)</t>
  </si>
  <si>
    <t>Estimativa</t>
  </si>
  <si>
    <t xml:space="preserve">Casos de Uso ou Histórias de Usuário</t>
  </si>
  <si>
    <t>Iniciação</t>
  </si>
  <si>
    <t>Horas</t>
  </si>
  <si>
    <t>Seq.</t>
  </si>
  <si>
    <t>Descrição</t>
  </si>
  <si>
    <t>Valor</t>
  </si>
  <si>
    <t>Risco</t>
  </si>
  <si>
    <t>Dependência</t>
  </si>
  <si>
    <t xml:space="preserve">Complexidade Técnica</t>
  </si>
  <si>
    <t>Prioridade</t>
  </si>
  <si>
    <t xml:space="preserve">Realizar o pré-projeto</t>
  </si>
  <si>
    <t xml:space="preserve">UC Buscar Impressoras 3D</t>
  </si>
  <si>
    <t xml:space="preserve">Criar ambiente do projeto</t>
  </si>
  <si>
    <t xml:space="preserve">UC Realizar Cadastro</t>
  </si>
  <si>
    <t xml:space="preserve">Definir escopo</t>
  </si>
  <si>
    <t xml:space="preserve">UC Solicitar Cadastro</t>
  </si>
  <si>
    <t xml:space="preserve">Planejar o projeto</t>
  </si>
  <si>
    <t xml:space="preserve">UC Solicitar Pedido de Impressão 3D</t>
  </si>
  <si>
    <t xml:space="preserve">Aplicar Checlist da fase</t>
  </si>
  <si>
    <t xml:space="preserve">UC Manter Serviços de Impressão 3D</t>
  </si>
  <si>
    <t xml:space="preserve">Revisar planejamento</t>
  </si>
  <si>
    <t xml:space="preserve">UC Visualizar Detalhes</t>
  </si>
  <si>
    <t>Elaboração</t>
  </si>
  <si>
    <t xml:space="preserve">UC Aprovar Makers</t>
  </si>
  <si>
    <t xml:space="preserve">Planejar o Sprint</t>
  </si>
  <si>
    <t xml:space="preserve">UC Avaliar Maker</t>
  </si>
  <si>
    <t xml:space="preserve">Estudar tecnologias</t>
  </si>
  <si>
    <t xml:space="preserve">UC Consultar Avaliações</t>
  </si>
  <si>
    <t xml:space="preserve">Preparar Ambiente de Desenvolvimento</t>
  </si>
  <si>
    <t xml:space="preserve">Especificar, Analisar e Projetar  UC Buscar Impressoras 3D (escolhido para testar a arquitetura)</t>
  </si>
  <si>
    <t xml:space="preserve">Modelar,implementar e testar a arquitetura</t>
  </si>
  <si>
    <t xml:space="preserve">Criar Guia de Implementação</t>
  </si>
  <si>
    <t xml:space="preserve">Implementar e testar a arquitetura</t>
  </si>
  <si>
    <t xml:space="preserve">Aplicar Checklist da fase</t>
  </si>
  <si>
    <t xml:space="preserve">Revisar Planejamento</t>
  </si>
  <si>
    <t>Construção</t>
  </si>
  <si>
    <t xml:space="preserve">Modelar UC Solicitar Cadastro</t>
  </si>
  <si>
    <t xml:space="preserve">Implementar e testar UC Solicitar Cadastro</t>
  </si>
  <si>
    <t xml:space="preserve">Modelar UC Realizar Cadastro</t>
  </si>
  <si>
    <t xml:space="preserve">Implementar e testar UC Realizar Cadastro</t>
  </si>
  <si>
    <t xml:space="preserve">Modelar UC Aprovar Makers</t>
  </si>
  <si>
    <t xml:space="preserve">Implementar e testar UC Aprovar Makers</t>
  </si>
  <si>
    <t xml:space="preserve">Modelar UC Manter Serviços de Impressão 3D</t>
  </si>
  <si>
    <t xml:space="preserve">Implementar e testar UC Manter Serviços de Impressão 3D</t>
  </si>
  <si>
    <t xml:space="preserve">Modelar UC Buscar Impressoras 3D</t>
  </si>
  <si>
    <t xml:space="preserve">Implementar e testar UC Buscar Impressoras 3D (Google Maps/API)</t>
  </si>
  <si>
    <t xml:space="preserve">Modelar UC Visualizar Detalhes</t>
  </si>
  <si>
    <t xml:space="preserve">Implementar e testar UC Visualizar Detalhes</t>
  </si>
  <si>
    <t xml:space="preserve">Modelar UC Solicitar Pedido de Impressão 3D</t>
  </si>
  <si>
    <t xml:space="preserve">Implementar e testar UC Solicitar Pedido de Impressão 3D (upload STL/OBJ)</t>
  </si>
  <si>
    <t xml:space="preserve">Modelar UC Avaliar Maker</t>
  </si>
  <si>
    <t xml:space="preserve">Implementar e testar UC Avaliar Maker</t>
  </si>
  <si>
    <t xml:space="preserve">Modelar UC Consultar Avaliações</t>
  </si>
  <si>
    <t xml:space="preserve">Implementar UC Consultar Avaliações</t>
  </si>
  <si>
    <t>Transição</t>
  </si>
  <si>
    <t xml:space="preserve">Projetar Testes de Sistema</t>
  </si>
  <si>
    <t xml:space="preserve">Executar Testes de Sistema</t>
  </si>
  <si>
    <t xml:space="preserve">Corrigir Defeitos</t>
  </si>
  <si>
    <t xml:space="preserve">Planejar Implantação (criar Guia de Implantação)</t>
  </si>
  <si>
    <t xml:space="preserve">Elaborar Material de Suporte e Treinamento</t>
  </si>
  <si>
    <t xml:space="preserve">Preparar Ambiente de Produção</t>
  </si>
  <si>
    <t xml:space="preserve">Implantar o Produto no Ambiente de Produção</t>
  </si>
  <si>
    <t xml:space="preserve">Esta planilha deve ser utilizada como sugestão ou base para o planejamento inicial</t>
  </si>
  <si>
    <t xml:space="preserve">Planejamento Estimado</t>
  </si>
  <si>
    <t xml:space="preserve">Esforço total estimado (Planilha Estimativa)</t>
  </si>
  <si>
    <t>horas</t>
  </si>
  <si>
    <t xml:space="preserve">Ajuste base histórica (margem de erro da estimativa)</t>
  </si>
  <si>
    <t xml:space="preserve">% de erro de estimativa</t>
  </si>
  <si>
    <t xml:space="preserve"> </t>
  </si>
  <si>
    <t xml:space="preserve">Qde desenvolvedores</t>
  </si>
  <si>
    <t xml:space="preserve">Jornada de trabalho semanal por desenvolvedor</t>
  </si>
  <si>
    <t xml:space="preserve">Capacidade do Time por Sprint</t>
  </si>
  <si>
    <t xml:space="preserve">Número de SPRINTs (sprint = 2 semanas)</t>
  </si>
  <si>
    <t>sprints</t>
  </si>
  <si>
    <t xml:space="preserve">Esforço total</t>
  </si>
  <si>
    <t xml:space="preserve">Prazo em semanas</t>
  </si>
  <si>
    <t>semanas</t>
  </si>
  <si>
    <t xml:space="preserve">Prazo em meses</t>
  </si>
  <si>
    <t>meses</t>
  </si>
  <si>
    <t xml:space="preserve">Análise Financeira</t>
  </si>
  <si>
    <t xml:space="preserve">Valor hora média desenvolvedor</t>
  </si>
  <si>
    <t xml:space="preserve">Custo direto</t>
  </si>
  <si>
    <t xml:space="preserve">Percentual do custo indireto</t>
  </si>
  <si>
    <t xml:space="preserve">Custo indireto</t>
  </si>
  <si>
    <t>Custo</t>
  </si>
  <si>
    <t xml:space="preserve">Percentual de lucro desejado</t>
  </si>
  <si>
    <t xml:space="preserve">Valor lucro</t>
  </si>
  <si>
    <t>Preço</t>
  </si>
  <si>
    <t xml:space="preserve">Monitoramento e Controle do Projeto (Plano de Entregas)</t>
  </si>
  <si>
    <t xml:space="preserve">Carga Horária Total</t>
  </si>
  <si>
    <t>PREVISTO</t>
  </si>
  <si>
    <t>REALIZADO</t>
  </si>
  <si>
    <t>Sprint</t>
  </si>
  <si>
    <t>Produtos</t>
  </si>
  <si>
    <t xml:space="preserve">Data Início</t>
  </si>
  <si>
    <t xml:space="preserve">Data Fim</t>
  </si>
  <si>
    <t>Status</t>
  </si>
  <si>
    <t xml:space="preserve">Data Término</t>
  </si>
  <si>
    <t xml:space="preserve">Diferença (hs)</t>
  </si>
  <si>
    <t>Versão</t>
  </si>
  <si>
    <t xml:space="preserve">Visão, Modelo de Casos de Uso e Plano</t>
  </si>
  <si>
    <t>Entregue</t>
  </si>
  <si>
    <t>Release-0.0.0</t>
  </si>
  <si>
    <t xml:space="preserve">UC Buscar Impressoras 3D e UC Visualizar Detalhes</t>
  </si>
  <si>
    <t>Release-0.1.0</t>
  </si>
  <si>
    <t xml:space="preserve">UC Realizar Cadastro, UC Solicitar Cadastro, UC Aprovar Makers e UC Manter Serviços de Impressão 3D e UC Solicitar Pedido de Impressão 3D</t>
  </si>
  <si>
    <t xml:space="preserve">Em execução</t>
  </si>
  <si>
    <t xml:space="preserve">UC Consultar Avaliações e UC Avaliar Maker.</t>
  </si>
  <si>
    <t xml:space="preserve">Não planejado</t>
  </si>
  <si>
    <t xml:space="preserve">Testes Finais, Correções e Apresentação</t>
  </si>
  <si>
    <t>Planejado</t>
  </si>
  <si>
    <t xml:space="preserve">Lista de Riscos</t>
  </si>
  <si>
    <t>Categorias</t>
  </si>
  <si>
    <t xml:space="preserve">Gestão - Organização</t>
  </si>
  <si>
    <t xml:space="preserve">Gestão - Orçamento</t>
  </si>
  <si>
    <t xml:space="preserve">Gestão - Prazo</t>
  </si>
  <si>
    <t xml:space="preserve">Gestão - Recursos Humanos</t>
  </si>
  <si>
    <t xml:space="preserve">Gestão - Processo</t>
  </si>
  <si>
    <t xml:space="preserve">Gestão - Ambiente</t>
  </si>
  <si>
    <t xml:space="preserve">Técnico - Requisitos</t>
  </si>
  <si>
    <t xml:space="preserve">Técnico - Tecnologia</t>
  </si>
  <si>
    <t xml:space="preserve">Externo - Cliente</t>
  </si>
  <si>
    <t xml:space="preserve">Externo - Subcontratação</t>
  </si>
  <si>
    <t xml:space="preserve">Probabilidade/Perda Esperada</t>
  </si>
  <si>
    <t>Baixa</t>
  </si>
  <si>
    <t>Média</t>
  </si>
  <si>
    <t>Alta</t>
  </si>
  <si>
    <t>Impacto</t>
  </si>
  <si>
    <t>Baixo</t>
  </si>
  <si>
    <t>Médio</t>
  </si>
  <si>
    <t>Alto</t>
  </si>
  <si>
    <t>Situação</t>
  </si>
  <si>
    <t>Ativo</t>
  </si>
  <si>
    <t xml:space="preserve">Em Mitigação</t>
  </si>
  <si>
    <t>Ocorrido</t>
  </si>
  <si>
    <t>Inativo</t>
  </si>
  <si>
    <t>Estratégia</t>
  </si>
  <si>
    <t>Eliminação</t>
  </si>
  <si>
    <t>Transferência</t>
  </si>
  <si>
    <t>Mitigação</t>
  </si>
  <si>
    <t xml:space="preserve">Aceitação ativa</t>
  </si>
  <si>
    <t xml:space="preserve">Aceitação passiva</t>
  </si>
  <si>
    <t xml:space="preserve">Valores Perda Esperada</t>
  </si>
  <si>
    <t xml:space="preserve">Baixo &amp; Alto</t>
  </si>
  <si>
    <t xml:space="preserve">Baixo &amp; Medio</t>
  </si>
  <si>
    <t xml:space="preserve">Baixo &amp; Baixo</t>
  </si>
  <si>
    <t xml:space="preserve">Médio &amp; Médio</t>
  </si>
  <si>
    <t xml:space="preserve">Médio &amp; Alto</t>
  </si>
  <si>
    <t xml:space="preserve">Alto &amp; Alto</t>
  </si>
  <si>
    <t xml:space="preserve">Instruções de Preenchimento</t>
  </si>
  <si>
    <t xml:space="preserve">As colunas em amarelo escuro são prenchidas durante a identificação do risco e normalmente não são alteradas durante a execução do projeto.</t>
  </si>
  <si>
    <t xml:space="preserve">As colunas em amarelo claro são preenchidas durante a avaliação qualitativa dos riscos e periodicamente revisadas durante as reuniões de revisão do processo.</t>
  </si>
  <si>
    <t xml:space="preserve">As células em branco contém fórmulas e não devem ser editadas</t>
  </si>
  <si>
    <t xml:space="preserve">Riscos do Projeto</t>
  </si>
  <si>
    <t>ID</t>
  </si>
  <si>
    <t>Identificação</t>
  </si>
  <si>
    <t xml:space="preserve">Descrição do Risco</t>
  </si>
  <si>
    <t>Data</t>
  </si>
  <si>
    <t>Probabilidade</t>
  </si>
  <si>
    <t xml:space="preserve">Perda Esperada</t>
  </si>
  <si>
    <t xml:space="preserve">Estratégia de Resposta</t>
  </si>
  <si>
    <t xml:space="preserve">Plano de Eliminação</t>
  </si>
  <si>
    <t xml:space="preserve">Plano de Mitigação</t>
  </si>
  <si>
    <t xml:space="preserve">Plano de Contingência</t>
  </si>
  <si>
    <t>R01</t>
  </si>
  <si>
    <t xml:space="preserve">Nao entrega do UC Avaliar Maker e UC Consultar Avaliacoes por falta de tempo no Sprint 3</t>
  </si>
  <si>
    <t>27/05/2026</t>
  </si>
  <si>
    <t xml:space="preserve">Repriorizar para sprint seguinte ou apresentacao parcial</t>
  </si>
  <si>
    <t xml:space="preserve">Implementar versao simplificada (listagem de avaliacoes sem filtros) para garantir entrega minima</t>
  </si>
  <si>
    <t xml:space="preserve">1. Reduzir escopo (menos funcionalidades)
2. Trabalhar horas extras
3. Simplificar features</t>
  </si>
  <si>
    <t>R02</t>
  </si>
  <si>
    <t xml:space="preserve">Nao entrega do UC Aprovar Makers por complexidade de integracao com perfil Administrador</t>
  </si>
  <si>
    <t>Media</t>
  </si>
  <si>
    <t>Medio</t>
  </si>
  <si>
    <t xml:space="preserve">Simplificar fluxo de aprovacao para aprovacao automatica no cadastro</t>
  </si>
  <si>
    <t xml:space="preserve">Manter statusAprovacao=true automatico no cadastro do Maker ate implementacao completa</t>
  </si>
  <si>
    <t xml:space="preserve">1. Substituir mapa por listagem simples
2. Usar mock de localização</t>
  </si>
  <si>
    <t>R03</t>
  </si>
  <si>
    <t xml:space="preserve">Atraso na integracao entre UC Solicitar Pedido e UC Manter Servicos de Impressao 3D</t>
  </si>
  <si>
    <t xml:space="preserve">Em Mitigacao</t>
  </si>
  <si>
    <t xml:space="preserve">Garantir que servicoId seja valido antes de aceitar pedido</t>
  </si>
  <si>
    <t xml:space="preserve">Validar existencia do servico no PedidoService antes de criar o pedido</t>
  </si>
  <si>
    <t xml:space="preserve">Simular envio de arquivo</t>
  </si>
  <si>
    <t>R04</t>
  </si>
  <si>
    <t xml:space="preserve">Falha na geocodificacao via Nominatim por indisponibilidade da API externa</t>
  </si>
  <si>
    <t xml:space="preserve">Implementar fallback: salvar cadastro sem coordenadas e notificar usuario</t>
  </si>
  <si>
    <t xml:space="preserve">Adicionar mensagem de aviso na resposta quando coordenadas nao forem obtidas</t>
  </si>
  <si>
    <t xml:space="preserve">Entregar versão reduzida (sem avaliação ou mapa avançado)</t>
  </si>
  <si>
    <t>R05</t>
  </si>
  <si>
    <t xml:space="preserve">Senha de usuarios armazenada em texto puro sem criptografia</t>
  </si>
  <si>
    <t xml:space="preserve">Implementar BCrypt antes da apresentacao final</t>
  </si>
  <si>
    <t xml:space="preserve">Adicionar dependencia spring-security-crypto e aplicar encode na senha antes de salvar</t>
  </si>
  <si>
    <t xml:space="preserve">Ignorar melhorias não essenciais</t>
  </si>
  <si>
    <t>R06</t>
  </si>
  <si>
    <t xml:space="preserve">Autenticacao via header X-Cliente-Id sem validacao de sessao (sem JWT)</t>
  </si>
  <si>
    <t xml:space="preserve">Implementar autenticacao com JWT ou Spring Security antes da apresentacao</t>
  </si>
  <si>
    <t xml:space="preserve">Documentar limitacao no roteiro de testes e apresentar como divida tecnica conhecida</t>
  </si>
  <si>
    <t>R07</t>
  </si>
  <si>
    <t xml:space="preserve">Carga horaria do Sprint 3 insuficiente para entregar todos os 7 casos de uso planejados em 1 semana</t>
  </si>
  <si>
    <t xml:space="preserve">Reduzir escopo: garantir entrega dos 4 UCs prioritarios (Realizar Cadastro, Solicitar Cadastro, Solicitar Pedido, Buscar Impressoras)</t>
  </si>
  <si>
    <t xml:space="preserve">Manter UCs de menor prioridade (Aprovar Makers, Avaliar Maker, Consultar Avaliacoes) como backlog para sprint seguinte</t>
  </si>
  <si>
    <t>R08</t>
  </si>
  <si>
    <t xml:space="preserve">Falta de validacao condicional: COM_MODELO sem arquivo3D e SEM_MODELO sem descricao sao aceitos</t>
  </si>
  <si>
    <t xml:space="preserve">Adicionar validacao condicional no PedidoRequestDTO ou PedidoService</t>
  </si>
  <si>
    <t xml:space="preserve">Registrar como defeito no roteiro de testes e corrigir antes da apresentacao</t>
  </si>
  <si>
    <t>R09</t>
  </si>
  <si>
    <t xml:space="preserve">Dados de seed (DataInitializer) recarregados a cada reinicio causando duplicidade no banco</t>
  </si>
  <si>
    <t xml:space="preserve">Adicionar verificacao de existencia antes de inserir dados iniciais</t>
  </si>
  <si>
    <t xml:space="preserve">Usar findByEmail ou findByNome antes de salvar no DataInitializer</t>
  </si>
  <si>
    <t>R10</t>
  </si>
  <si>
    <t xml:space="preserve">Prazo final de apresentacao (03/06/2026) coincide com fim do Sprint 3 sem margem para correcoes</t>
  </si>
  <si>
    <t xml:space="preserve">Congelar novas funcionalidades 1 dia antes e focar em estabilizacao</t>
  </si>
  <si>
    <t xml:space="preserve">Priorizar correcao de bugs criticos e garantir que o fluxo principal funcione end-to-end</t>
  </si>
  <si>
    <t xml:space="preserve">APF (Método de estimativa de tamanho de sistema)</t>
  </si>
  <si>
    <t xml:space="preserve">As colunas em amarelo escuro são prenchidas durante a contagem e normalmente não são alteradas durante a execução do projeto.</t>
  </si>
  <si>
    <t xml:space="preserve">As colunas em amarelo claro são preenchidas durante</t>
  </si>
  <si>
    <t xml:space="preserve">Funções de Dados (Arquivo/Tabela)</t>
  </si>
  <si>
    <t xml:space="preserve">Funções de Transacionais (caso de uso/história)</t>
  </si>
  <si>
    <t xml:space="preserve">Funções de Dados</t>
  </si>
  <si>
    <t xml:space="preserve">Fator de Ajuste</t>
  </si>
  <si>
    <t>Arquivos/Tabelas</t>
  </si>
  <si>
    <t>Complexidade</t>
  </si>
  <si>
    <t xml:space="preserve">Caso de Uso/História</t>
  </si>
  <si>
    <t xml:space="preserve">Tipo de Função</t>
  </si>
  <si>
    <t>Simples</t>
  </si>
  <si>
    <t>Complexa</t>
  </si>
  <si>
    <t>Contribuição</t>
  </si>
  <si>
    <t xml:space="preserve">Características do sistema</t>
  </si>
  <si>
    <t>GI</t>
  </si>
  <si>
    <t>Usuario</t>
  </si>
  <si>
    <t>ALI</t>
  </si>
  <si>
    <t xml:space="preserve">Comunicação de Dados</t>
  </si>
  <si>
    <t>Endereco</t>
  </si>
  <si>
    <t xml:space="preserve">Processamento de Dados Distribuído</t>
  </si>
  <si>
    <t xml:space="preserve">Funções Transacionais</t>
  </si>
  <si>
    <t>Desempenho</t>
  </si>
  <si>
    <t>Tipo</t>
  </si>
  <si>
    <t xml:space="preserve">UC Solicitar Cadastro (Maker)</t>
  </si>
  <si>
    <t xml:space="preserve">Utilização de Equipamento</t>
  </si>
  <si>
    <t>Tecnologia</t>
  </si>
  <si>
    <t xml:space="preserve">UC Solicitar Pedido de Impressao</t>
  </si>
  <si>
    <t xml:space="preserve">Volume de Transações</t>
  </si>
  <si>
    <t>x</t>
  </si>
  <si>
    <t>Material</t>
  </si>
  <si>
    <t xml:space="preserve">UC Manter Servicos de Impressao</t>
  </si>
  <si>
    <t xml:space="preserve">Entrada de Dados On-line</t>
  </si>
  <si>
    <t>ServicoImpressao</t>
  </si>
  <si>
    <t>Usabilidade</t>
  </si>
  <si>
    <t xml:space="preserve">PFNA - Pontos de Função Não Ajustados:</t>
  </si>
  <si>
    <t xml:space="preserve">Atualização On-line</t>
  </si>
  <si>
    <t>AvaliacaoMaker</t>
  </si>
  <si>
    <t xml:space="preserve">UC Consultar Avaliacoes</t>
  </si>
  <si>
    <t xml:space="preserve">Processamento Complexo</t>
  </si>
  <si>
    <t xml:space="preserve">Nominatim API</t>
  </si>
  <si>
    <t>AIE</t>
  </si>
  <si>
    <t>Reusabilidade</t>
  </si>
  <si>
    <t xml:space="preserve">Facilidade de Implantação</t>
  </si>
  <si>
    <t xml:space="preserve">Facilidade Operacional</t>
  </si>
  <si>
    <t>EE</t>
  </si>
  <si>
    <t xml:space="preserve">Múltiplos Locais e Organizações do Usuário</t>
  </si>
  <si>
    <t>SE</t>
  </si>
  <si>
    <t>Manutenibilidade</t>
  </si>
  <si>
    <t>CE</t>
  </si>
  <si>
    <t xml:space="preserve">NIT - Nível de Influência Total:</t>
  </si>
  <si>
    <t xml:space="preserve">VFA - Valor do Fator de Ajuste:</t>
  </si>
  <si>
    <t xml:space="preserve">PFA - Pontos de Função Ajustados:</t>
  </si>
  <si>
    <t xml:space="preserve">Produtividade da Tecnologia Escolhida (hs/pto):</t>
  </si>
  <si>
    <t xml:space="preserve">Esforço estimado (Horas):</t>
  </si>
  <si>
    <t xml:space="preserve">Estimativa de distribuição de esforço por Fase (horas)</t>
  </si>
  <si>
    <t xml:space="preserve">Esforço total estimado</t>
  </si>
  <si>
    <t>DISCIPLINAS</t>
  </si>
  <si>
    <t xml:space="preserve">% de erro</t>
  </si>
  <si>
    <t>Totais/Disciplina</t>
  </si>
  <si>
    <t xml:space="preserve">Esforço total ajustado</t>
  </si>
  <si>
    <t xml:space="preserve">Qde de pessoas (Desenvolvedores)</t>
  </si>
  <si>
    <t>Requisitos</t>
  </si>
  <si>
    <t xml:space="preserve">Jornada de trabalho (semanal por desenvolvedor)</t>
  </si>
  <si>
    <t>horas/semana</t>
  </si>
  <si>
    <t xml:space="preserve">Análise e Design</t>
  </si>
  <si>
    <t xml:space="preserve">Número de semanas por sprint</t>
  </si>
  <si>
    <t>Implementação</t>
  </si>
  <si>
    <t xml:space="preserve">Capacidade estimada do time/sprint</t>
  </si>
  <si>
    <t>Teste</t>
  </si>
  <si>
    <t xml:space="preserve">Qde de semanas estimada</t>
  </si>
  <si>
    <t>Implantação</t>
  </si>
  <si>
    <t xml:space="preserve">Qde de meses estimada</t>
  </si>
  <si>
    <t>Desenvolvimento</t>
  </si>
  <si>
    <t xml:space="preserve">Qde de Sprints sugerido</t>
  </si>
  <si>
    <t>Sprints</t>
  </si>
  <si>
    <t xml:space="preserve">Gerenciamento de Configuração</t>
  </si>
  <si>
    <t xml:space="preserve">Gerenciamento de Projeto</t>
  </si>
  <si>
    <t xml:space="preserve">Gerenciamento do Projeto</t>
  </si>
  <si>
    <t>Totais/Fase</t>
  </si>
  <si>
    <t xml:space="preserve">Custo total</t>
  </si>
  <si>
    <t xml:space="preserve">Preço final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</si>
</sst>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9">
    <numFmt numFmtId="164" formatCode="[$-416]General"/>
    <numFmt numFmtId="165" formatCode="[$-416]0%"/>
    <numFmt numFmtId="166" formatCode="[$-416]0"/>
    <numFmt numFmtId="167" formatCode="&quot; R$ &quot;#,##0.00&quot; &quot;;&quot;-R$ &quot;#,##0.00&quot; &quot;;&quot; R$ -&quot;#&quot; &quot;;@&quot; &quot;"/>
    <numFmt numFmtId="168" formatCode="dd/mm/yyyy"/>
    <numFmt numFmtId="169" formatCode="#,##0.0&quot; &quot;;&quot;-&quot;#,##0.0&quot; &quot;;&quot; -&quot;#&quot; &quot;;@&quot; &quot;"/>
    <numFmt numFmtId="170" formatCode="[$-416]d/m/yyyy"/>
    <numFmt numFmtId="171" formatCode="#,##0&quot; &quot;;&quot;-&quot;#,##0&quot; &quot;;&quot; -&quot;#&quot; &quot;;@&quot; &quot;"/>
    <numFmt numFmtId="172" formatCode="d/m/yy"/>
  </numFmts>
  <fonts count="40">
    <font>
      <sz val="11.000000"/>
      <name val="Arial"/>
      <scheme val="minor"/>
    </font>
    <font>
      <b/>
      <sz val="14.000000"/>
      <color indexed="65"/>
      <name val="Quattrocento Sans"/>
    </font>
    <font>
      <sz val="11.000000"/>
      <name val="Calibri"/>
    </font>
    <font>
      <b/>
      <sz val="16.000000"/>
      <name val="Quattrocento Sans"/>
    </font>
    <font>
      <b/>
      <sz val="10.000000"/>
      <color indexed="65"/>
      <name val="Quattrocento Sans"/>
    </font>
    <font>
      <sz val="10.000000"/>
      <name val="Arial"/>
    </font>
    <font>
      <u/>
      <sz val="11.000000"/>
      <color theme="10"/>
      <name val="Arial"/>
    </font>
    <font>
      <u/>
      <sz val="11.000000"/>
      <color rgb="FF467886"/>
      <name val="Arial"/>
    </font>
    <font>
      <b/>
      <sz val="9.000000"/>
      <color indexed="65"/>
      <name val="Quattrocento Sans"/>
    </font>
    <font>
      <sz val="9.000000"/>
      <name val="Calibri"/>
    </font>
    <font>
      <i/>
      <sz val="9.000000"/>
      <color rgb="FF376092"/>
      <name val="Arial"/>
    </font>
    <font>
      <b/>
      <sz val="9.000000"/>
      <name val="Arial"/>
    </font>
    <font>
      <sz val="9.000000"/>
      <name val="Arial"/>
    </font>
    <font>
      <b/>
      <sz val="10.000000"/>
      <name val="Arial"/>
    </font>
    <font>
      <b/>
      <i/>
      <sz val="9.000000"/>
      <color indexed="4"/>
      <name val="Arial"/>
    </font>
    <font>
      <i/>
      <sz val="9.000000"/>
      <color indexed="4"/>
      <name val="Arial"/>
    </font>
    <font>
      <sz val="11.000000"/>
      <name val="Arial"/>
    </font>
    <font>
      <b/>
      <sz val="12.000000"/>
      <name val="Calibri"/>
    </font>
    <font>
      <b/>
      <sz val="12.000000"/>
      <color indexed="65"/>
      <name val="Calibri"/>
    </font>
    <font>
      <sz val="10.000000"/>
      <name val="Calibri"/>
    </font>
    <font>
      <b/>
      <sz val="15.000000"/>
      <name val="Calibri"/>
    </font>
    <font>
      <b/>
      <sz val="14.000000"/>
      <name val="Calibri"/>
    </font>
    <font>
      <b/>
      <sz val="18.000000"/>
      <color indexed="65"/>
      <name val="Calibri"/>
    </font>
    <font>
      <b/>
      <sz val="10.000000"/>
      <color indexed="65"/>
      <name val="Calibri"/>
    </font>
    <font>
      <i/>
      <sz val="10.000000"/>
      <color indexed="4"/>
      <name val="Calibri"/>
    </font>
    <font>
      <b/>
      <i/>
      <sz val="10.000000"/>
      <color indexed="4"/>
      <name val="Calibri"/>
    </font>
    <font>
      <i/>
      <sz val="11.000000"/>
      <color indexed="4"/>
      <name val="Calibri"/>
    </font>
    <font>
      <sz val="10.000000"/>
      <color indexed="4"/>
      <name val="Calibri"/>
    </font>
    <font>
      <b/>
      <sz val="10.000000"/>
      <name val="Calibri"/>
    </font>
    <font>
      <sz val="11.000000"/>
      <color rgb="FF1F1F1F"/>
      <name val="Google Sans"/>
    </font>
    <font>
      <b/>
      <sz val="11.000000"/>
      <color rgb="FF1F1F1F"/>
      <name val="Google Sans"/>
    </font>
    <font>
      <sz val="8.000000"/>
      <name val="Arial"/>
    </font>
    <font>
      <b/>
      <sz val="8.000000"/>
      <name val="Arial"/>
    </font>
    <font>
      <b/>
      <sz val="11.000000"/>
      <color indexed="65"/>
      <name val="Calibri"/>
    </font>
    <font>
      <b/>
      <sz val="16.000000"/>
      <color indexed="65"/>
      <name val="Calibri"/>
    </font>
    <font>
      <b/>
      <sz val="9.000000"/>
      <name val="Calibri"/>
    </font>
    <font>
      <b/>
      <sz val="11.000000"/>
      <name val="Calibri"/>
    </font>
    <font>
      <b/>
      <sz val="12.000000"/>
      <color indexed="65"/>
      <name val="Arial"/>
    </font>
    <font>
      <b/>
      <sz val="14.000000"/>
      <color indexed="65"/>
      <name val="Calibri"/>
    </font>
    <font>
      <sz val="14.000000"/>
      <name val="Calibri"/>
    </font>
  </fonts>
  <fills count="15">
    <fill>
      <patternFill patternType="none"/>
    </fill>
    <fill>
      <patternFill patternType="gray125"/>
    </fill>
    <fill>
      <patternFill patternType="solid">
        <fgColor rgb="FFC00000"/>
        <bgColor rgb="FFC00000"/>
      </patternFill>
    </fill>
    <fill>
      <patternFill patternType="solid">
        <fgColor indexed="5"/>
        <bgColor indexed="5"/>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indexed="43"/>
        <bgColor indexed="43"/>
      </patternFill>
    </fill>
    <fill>
      <patternFill patternType="solid">
        <fgColor indexed="2"/>
        <bgColor indexed="2"/>
      </patternFill>
    </fill>
    <fill>
      <patternFill patternType="solid">
        <fgColor rgb="FFDBEEF4"/>
        <bgColor rgb="FFDBEEF4"/>
      </patternFill>
    </fill>
    <fill>
      <patternFill patternType="solid">
        <fgColor indexed="65"/>
        <bgColor indexed="65"/>
      </patternFill>
    </fill>
    <fill>
      <patternFill patternType="solid">
        <fgColor indexed="22"/>
        <bgColor indexed="22"/>
      </patternFill>
    </fill>
    <fill>
      <patternFill patternType="solid">
        <fgColor indexed="26"/>
        <bgColor indexed="26"/>
      </patternFill>
    </fill>
    <fill>
      <patternFill patternType="solid">
        <fgColor rgb="FFDFDFDF"/>
        <bgColor rgb="FFDFDFDF"/>
      </patternFill>
    </fill>
    <fill>
      <patternFill patternType="solid">
        <fgColor rgb="FFB3A2C7"/>
        <bgColor rgb="FFB3A2C7"/>
      </patternFill>
    </fill>
  </fills>
  <borders count="12">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none"/>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thin">
        <color auto="1"/>
      </left>
      <right style="none"/>
      <top style="thin">
        <color auto="1"/>
      </top>
      <bottom style="thin">
        <color auto="1"/>
      </bottom>
      <diagonal style="none"/>
    </border>
    <border>
      <left style="thin">
        <color auto="1"/>
      </left>
      <right style="thin">
        <color auto="1"/>
      </right>
      <top style="none"/>
      <bottom style="none"/>
      <diagonal style="none"/>
    </border>
    <border>
      <left style="thin">
        <color auto="1"/>
      </left>
      <right style="thin">
        <color auto="1"/>
      </right>
      <top style="thin">
        <color auto="1"/>
      </top>
      <bottom style="none"/>
      <diagonal style="none"/>
    </border>
    <border>
      <left style="none"/>
      <right style="none"/>
      <top style="thin">
        <color auto="1"/>
      </top>
      <bottom style="none"/>
      <diagonal style="none"/>
    </border>
    <border>
      <left style="thin">
        <color auto="1"/>
      </left>
      <right style="thin">
        <color auto="1"/>
      </right>
      <top style="none"/>
      <bottom style="thin">
        <color auto="1"/>
      </bottom>
      <diagonal style="none"/>
    </border>
  </borders>
  <cellStyleXfs count="1">
    <xf fontId="0" fillId="0" borderId="0" numFmtId="0" applyNumberFormat="1" applyFont="1" applyFill="1" applyBorder="1"/>
  </cellStyleXfs>
  <cellXfs count="170">
    <xf fontId="0" fillId="0" borderId="0" numFmtId="0" xfId="0" quotePrefix="0" pivotButton="0"/>
    <xf fontId="1" fillId="2" borderId="1" numFmtId="164" xfId="0" applyNumberFormat="1" applyFont="1" applyFill="1" applyBorder="1" applyAlignment="1" quotePrefix="0" pivotButton="0">
      <alignment horizontal="center" vertical="center" wrapText="1"/>
    </xf>
    <xf fontId="0" fillId="0" borderId="2" numFmtId="0" xfId="0" applyBorder="1" quotePrefix="0" pivotButton="0"/>
    <xf fontId="0" fillId="0" borderId="3" numFmtId="0" xfId="0" applyBorder="1" quotePrefix="0" pivotButton="0"/>
    <xf fontId="2" fillId="0" borderId="0" numFmtId="164" xfId="0" applyNumberFormat="1" applyFont="1" quotePrefix="0" pivotButton="0"/>
    <xf fontId="3" fillId="3" borderId="1" numFmtId="164" xfId="0" applyNumberFormat="1" applyFont="1" applyFill="1" applyBorder="1" applyAlignment="1" quotePrefix="0" pivotButton="0">
      <alignment horizontal="center" vertical="center" wrapText="1"/>
    </xf>
    <xf fontId="4" fillId="2" borderId="1" numFmtId="164" xfId="0" applyNumberFormat="1" applyFont="1" applyFill="1" applyBorder="1" applyAlignment="1" quotePrefix="0" pivotButton="0">
      <alignment horizontal="center" vertical="center" wrapText="1"/>
    </xf>
    <xf fontId="5" fillId="3" borderId="1" numFmtId="164" xfId="0" applyNumberFormat="1" applyFont="1" applyFill="1" applyBorder="1" quotePrefix="0" pivotButton="0"/>
    <xf fontId="6" fillId="3" borderId="1" numFmtId="164" xfId="0" applyNumberFormat="1" applyFont="1" applyFill="1" applyBorder="1" quotePrefix="0" pivotButton="0"/>
    <xf fontId="7" fillId="3" borderId="1" numFmtId="164" xfId="0" applyNumberFormat="1" applyFont="1" applyFill="1" applyBorder="1" quotePrefix="0" pivotButton="0"/>
    <xf fontId="8" fillId="2" borderId="4" numFmtId="164" xfId="0" applyNumberFormat="1" applyFont="1" applyFill="1" applyBorder="1" applyAlignment="1" quotePrefix="0" pivotButton="0">
      <alignment horizontal="center" vertical="center" wrapText="1"/>
    </xf>
    <xf fontId="9" fillId="0" borderId="0" numFmtId="164" xfId="0" applyNumberFormat="1" applyFont="1" quotePrefix="0" pivotButton="0"/>
    <xf fontId="8" fillId="2" borderId="5" numFmtId="164" xfId="0" applyNumberFormat="1" applyFont="1" applyFill="1" applyBorder="1" applyAlignment="1" quotePrefix="0" pivotButton="0">
      <alignment horizontal="center" vertical="center" wrapText="1"/>
    </xf>
    <xf fontId="0" fillId="0" borderId="6" numFmtId="0" xfId="0" applyBorder="1" quotePrefix="0" pivotButton="0"/>
    <xf fontId="10" fillId="4" borderId="5" numFmtId="164" xfId="0" applyNumberFormat="1" applyFont="1" applyFill="1" applyBorder="1" applyAlignment="1" quotePrefix="0" pivotButton="0">
      <alignment horizontal="center" vertical="center" wrapText="1"/>
    </xf>
    <xf fontId="10" fillId="4" borderId="7" numFmtId="164" xfId="0" applyNumberFormat="1" applyFont="1" applyFill="1" applyBorder="1" applyAlignment="1" quotePrefix="0" pivotButton="0">
      <alignment horizontal="center" vertical="center" wrapText="1"/>
    </xf>
    <xf fontId="11" fillId="4" borderId="1" numFmtId="164" xfId="0" applyNumberFormat="1" applyFont="1" applyFill="1" applyBorder="1" applyAlignment="1" quotePrefix="0" pivotButton="0">
      <alignment horizontal="center" vertical="center" wrapText="1"/>
    </xf>
    <xf fontId="11" fillId="4" borderId="1" numFmtId="164" xfId="0" applyNumberFormat="1" applyFont="1" applyFill="1" applyBorder="1" applyAlignment="1" quotePrefix="0" pivotButton="0">
      <alignment wrapText="1"/>
    </xf>
    <xf fontId="11" fillId="5" borderId="1" numFmtId="164" xfId="0" applyNumberFormat="1" applyFont="1" applyFill="1" applyBorder="1" applyAlignment="1" quotePrefix="0" pivotButton="0">
      <alignment horizontal="center" vertical="center" wrapText="1"/>
    </xf>
    <xf fontId="11" fillId="5" borderId="1" numFmtId="164" xfId="0" applyNumberFormat="1" applyFont="1" applyFill="1" applyBorder="1" applyAlignment="1" quotePrefix="0" pivotButton="0">
      <alignment horizontal="center" vertical="center"/>
    </xf>
    <xf fontId="11" fillId="5" borderId="8" numFmtId="164" xfId="0" applyNumberFormat="1" applyFont="1" applyFill="1" applyBorder="1" applyAlignment="1" quotePrefix="0" pivotButton="0">
      <alignment horizontal="center" vertical="center" wrapText="1"/>
    </xf>
    <xf fontId="11" fillId="5" borderId="9" numFmtId="164" xfId="0" applyNumberFormat="1" applyFont="1" applyFill="1" applyBorder="1" applyAlignment="1" quotePrefix="0" pivotButton="0">
      <alignment horizontal="center" vertical="center" wrapText="1"/>
    </xf>
    <xf fontId="11" fillId="5" borderId="9" numFmtId="164" xfId="0" applyNumberFormat="1" applyFont="1" applyFill="1" applyBorder="1" applyAlignment="1" quotePrefix="0" pivotButton="0">
      <alignment vertical="center" wrapText="1"/>
    </xf>
    <xf fontId="12" fillId="3" borderId="1" numFmtId="164" xfId="0" applyNumberFormat="1" applyFont="1" applyFill="1" applyBorder="1" quotePrefix="0" pivotButton="0"/>
    <xf fontId="13" fillId="3" borderId="1" numFmtId="164" xfId="0" applyNumberFormat="1" applyFont="1" applyFill="1" applyBorder="1" applyAlignment="1" quotePrefix="0" pivotButton="0">
      <alignment horizontal="center" vertical="center"/>
    </xf>
    <xf fontId="11" fillId="3" borderId="9" numFmtId="164" xfId="0" applyNumberFormat="1" applyFont="1" applyFill="1" applyBorder="1" applyAlignment="1" quotePrefix="0" pivotButton="0">
      <alignment horizontal="center" vertical="center" wrapText="1"/>
    </xf>
    <xf fontId="12" fillId="3" borderId="1" numFmtId="164" xfId="0" applyNumberFormat="1" applyFont="1" applyFill="1" applyBorder="1" applyAlignment="1" quotePrefix="0" pivotButton="0">
      <alignment horizontal="center" vertical="center"/>
    </xf>
    <xf fontId="13" fillId="6" borderId="1" numFmtId="164" xfId="0" applyNumberFormat="1" applyFont="1" applyFill="1" applyBorder="1" applyAlignment="1" quotePrefix="0" pivotButton="0">
      <alignment horizontal="center" vertical="center"/>
    </xf>
    <xf fontId="11" fillId="3" borderId="1" numFmtId="164" xfId="0" applyNumberFormat="1" applyFont="1" applyFill="1" applyBorder="1" applyAlignment="1" quotePrefix="0" pivotButton="0">
      <alignment horizontal="center" vertical="center" wrapText="1"/>
    </xf>
    <xf fontId="12" fillId="3" borderId="1" numFmtId="164" xfId="0" applyNumberFormat="1" applyFont="1" applyFill="1" applyBorder="1" applyAlignment="1" quotePrefix="0" pivotButton="0">
      <alignment horizontal="left"/>
    </xf>
    <xf fontId="14" fillId="7" borderId="1" numFmtId="164" xfId="0" applyNumberFormat="1" applyFont="1" applyFill="1" applyBorder="1" applyAlignment="1" quotePrefix="0" pivotButton="0">
      <alignment horizontal="left"/>
    </xf>
    <xf fontId="15" fillId="7" borderId="1" numFmtId="164" xfId="0" applyNumberFormat="1" applyFont="1" applyFill="1" applyBorder="1" applyAlignment="1" quotePrefix="0" pivotButton="0">
      <alignment horizontal="left"/>
    </xf>
    <xf fontId="2" fillId="0" borderId="0" numFmtId="164" xfId="0" applyNumberFormat="1" applyFont="1" applyAlignment="1" quotePrefix="0" pivotButton="0">
      <alignment horizontal="center" vertical="center"/>
    </xf>
    <xf fontId="12" fillId="3" borderId="0" numFmtId="164" xfId="0" applyNumberFormat="1" applyFont="1" applyFill="1" quotePrefix="0" pivotButton="0"/>
    <xf fontId="11" fillId="5" borderId="1" numFmtId="164" xfId="0" applyNumberFormat="1" applyFont="1" applyFill="1" applyBorder="1" applyAlignment="1" quotePrefix="0" pivotButton="0">
      <alignment vertical="center" wrapText="1"/>
    </xf>
    <xf fontId="16" fillId="5" borderId="1" numFmtId="0" xfId="0" applyFont="1" applyFill="1" applyBorder="1" quotePrefix="0" pivotButton="0"/>
    <xf fontId="9" fillId="0" borderId="0" numFmtId="164" xfId="0" applyNumberFormat="1" applyFont="1" applyAlignment="1" quotePrefix="0" pivotButton="0">
      <alignment horizontal="center" vertical="center"/>
    </xf>
    <xf fontId="17" fillId="0" borderId="0" numFmtId="164" xfId="0" applyNumberFormat="1" applyFont="1" applyAlignment="1" quotePrefix="0" pivotButton="0">
      <alignment horizontal="center" vertical="center"/>
    </xf>
    <xf fontId="18" fillId="2" borderId="1" numFmtId="164" xfId="0" applyNumberFormat="1" applyFont="1" applyFill="1" applyBorder="1" applyAlignment="1" quotePrefix="0" pivotButton="0">
      <alignment horizontal="center"/>
    </xf>
    <xf fontId="2" fillId="0" borderId="0" numFmtId="164" xfId="0" applyNumberFormat="1" applyFont="1" applyAlignment="1" quotePrefix="0" pivotButton="0">
      <alignment horizontal="center"/>
    </xf>
    <xf fontId="18" fillId="2" borderId="6" numFmtId="164" xfId="0" applyNumberFormat="1" applyFont="1" applyFill="1" applyBorder="1" applyAlignment="1" quotePrefix="0" pivotButton="0">
      <alignment horizontal="center"/>
    </xf>
    <xf fontId="17" fillId="4" borderId="1" numFmtId="164" xfId="0" applyNumberFormat="1" applyFont="1" applyFill="1" applyBorder="1" quotePrefix="0" pivotButton="0"/>
    <xf fontId="17" fillId="4" borderId="1" numFmtId="164" xfId="0" applyNumberFormat="1" applyFont="1" applyFill="1" applyBorder="1" applyAlignment="1" quotePrefix="0" pivotButton="0">
      <alignment horizontal="center"/>
    </xf>
    <xf fontId="2" fillId="4" borderId="1" numFmtId="164" xfId="0" applyNumberFormat="1" applyFont="1" applyFill="1" applyBorder="1" applyAlignment="1" quotePrefix="0" pivotButton="0">
      <alignment horizontal="left"/>
    </xf>
    <xf fontId="19" fillId="3" borderId="1" numFmtId="165" xfId="0" applyNumberFormat="1" applyFont="1" applyFill="1" applyBorder="1" applyAlignment="1" quotePrefix="0" pivotButton="0">
      <alignment horizontal="center"/>
    </xf>
    <xf fontId="2" fillId="4" borderId="1" numFmtId="164" xfId="0" applyNumberFormat="1" applyFont="1" applyFill="1" applyBorder="1" quotePrefix="0" pivotButton="0"/>
    <xf fontId="2" fillId="3" borderId="1" numFmtId="164" xfId="0" applyNumberFormat="1" applyFont="1" applyFill="1" applyBorder="1" applyAlignment="1" quotePrefix="0" pivotButton="0">
      <alignment horizontal="center"/>
    </xf>
    <xf fontId="2" fillId="4" borderId="1" numFmtId="166" xfId="0" applyNumberFormat="1" applyFont="1" applyFill="1" applyBorder="1" applyAlignment="1" quotePrefix="0" pivotButton="0">
      <alignment horizontal="center"/>
    </xf>
    <xf fontId="20" fillId="4" borderId="1" numFmtId="164" xfId="0" applyNumberFormat="1" applyFont="1" applyFill="1" applyBorder="1" quotePrefix="0" pivotButton="0"/>
    <xf fontId="20" fillId="4" borderId="1" numFmtId="166" xfId="0" applyNumberFormat="1" applyFont="1" applyFill="1" applyBorder="1" applyAlignment="1" quotePrefix="0" pivotButton="0">
      <alignment horizontal="center"/>
    </xf>
    <xf fontId="20" fillId="4" borderId="1" numFmtId="164" xfId="0" applyNumberFormat="1" applyFont="1" applyFill="1" applyBorder="1" applyAlignment="1" quotePrefix="0" pivotButton="0">
      <alignment horizontal="left"/>
    </xf>
    <xf fontId="17" fillId="4" borderId="1" numFmtId="166" xfId="0" applyNumberFormat="1" applyFont="1" applyFill="1" applyBorder="1" applyAlignment="1" quotePrefix="0" pivotButton="0">
      <alignment horizontal="center"/>
    </xf>
    <xf fontId="19" fillId="3" borderId="1" numFmtId="167" xfId="0" applyNumberFormat="1" applyFont="1" applyFill="1" applyBorder="1" applyAlignment="1" quotePrefix="0" pivotButton="0">
      <alignment horizontal="center"/>
    </xf>
    <xf fontId="19" fillId="4" borderId="1" numFmtId="164" xfId="0" applyNumberFormat="1" applyFont="1" applyFill="1" applyBorder="1" applyAlignment="1" quotePrefix="0" pivotButton="0">
      <alignment horizontal="left"/>
    </xf>
    <xf fontId="19" fillId="4" borderId="1" numFmtId="167" xfId="0" applyNumberFormat="1" applyFont="1" applyFill="1" applyBorder="1" applyAlignment="1" quotePrefix="0" pivotButton="0">
      <alignment horizontal="center"/>
    </xf>
    <xf fontId="21" fillId="4" borderId="1" numFmtId="164" xfId="0" applyNumberFormat="1" applyFont="1" applyFill="1" applyBorder="1" quotePrefix="0" pivotButton="0"/>
    <xf fontId="21" fillId="4" borderId="1" numFmtId="167" xfId="0" applyNumberFormat="1" applyFont="1" applyFill="1" applyBorder="1" quotePrefix="0" pivotButton="0"/>
    <xf fontId="19" fillId="4" borderId="1" numFmtId="167" xfId="0" applyNumberFormat="1" applyFont="1" applyFill="1" applyBorder="1" quotePrefix="0" pivotButton="0"/>
    <xf fontId="22" fillId="2" borderId="5" numFmtId="164" xfId="0" applyNumberFormat="1" applyFont="1" applyFill="1" applyBorder="1" applyAlignment="1" quotePrefix="0" pivotButton="0">
      <alignment horizontal="center"/>
    </xf>
    <xf fontId="18" fillId="2" borderId="1" numFmtId="164" xfId="0" applyNumberFormat="1" applyFont="1" applyFill="1" applyBorder="1" applyAlignment="1" quotePrefix="0" pivotButton="0">
      <alignment horizontal="left"/>
    </xf>
    <xf fontId="18" fillId="2" borderId="1" numFmtId="166" xfId="0" applyNumberFormat="1" applyFont="1" applyFill="1" applyBorder="1" applyAlignment="1" quotePrefix="0" pivotButton="0">
      <alignment horizontal="center"/>
    </xf>
    <xf fontId="23" fillId="8" borderId="5" numFmtId="164" xfId="0" applyNumberFormat="1" applyFont="1" applyFill="1" applyBorder="1" applyAlignment="1" quotePrefix="0" pivotButton="0">
      <alignment horizontal="left"/>
    </xf>
    <xf fontId="23" fillId="8" borderId="6" numFmtId="166" xfId="0" applyNumberFormat="1" applyFont="1" applyFill="1" applyBorder="1" applyAlignment="1" quotePrefix="0" pivotButton="0">
      <alignment horizontal="center"/>
    </xf>
    <xf fontId="23" fillId="8" borderId="1" numFmtId="166" xfId="0" applyNumberFormat="1" applyFont="1" applyFill="1" applyBorder="1" applyAlignment="1" quotePrefix="0" pivotButton="0">
      <alignment horizontal="center"/>
    </xf>
    <xf fontId="23" fillId="8" borderId="6" numFmtId="164" xfId="0" applyNumberFormat="1" applyFont="1" applyFill="1" applyBorder="1" applyAlignment="1" quotePrefix="0" pivotButton="0">
      <alignment horizontal="left"/>
    </xf>
    <xf fontId="23" fillId="8" borderId="1" numFmtId="164" xfId="0" applyNumberFormat="1" applyFont="1" applyFill="1" applyBorder="1" applyAlignment="1" quotePrefix="0" pivotButton="0">
      <alignment horizontal="center"/>
    </xf>
    <xf fontId="23" fillId="8" borderId="6" numFmtId="164" xfId="0" applyNumberFormat="1" applyFont="1" applyFill="1" applyBorder="1" applyAlignment="1" quotePrefix="0" pivotButton="0">
      <alignment horizontal="center" vertical="center"/>
    </xf>
    <xf fontId="23" fillId="8" borderId="6" numFmtId="164" xfId="0" applyNumberFormat="1" applyFont="1" applyFill="1" applyBorder="1" applyAlignment="1" quotePrefix="0" pivotButton="0">
      <alignment horizontal="center"/>
    </xf>
    <xf fontId="23" fillId="8" borderId="1" numFmtId="164" xfId="0" applyNumberFormat="1" applyFont="1" applyFill="1" applyBorder="1" applyAlignment="1" quotePrefix="0" pivotButton="0">
      <alignment horizontal="center" vertical="center"/>
    </xf>
    <xf fontId="19" fillId="4" borderId="1" numFmtId="164" xfId="0" applyNumberFormat="1" applyFont="1" applyFill="1" applyBorder="1" applyAlignment="1" quotePrefix="0" pivotButton="0">
      <alignment horizontal="center"/>
    </xf>
    <xf fontId="24" fillId="3" borderId="1" numFmtId="164" xfId="0" applyNumberFormat="1" applyFont="1" applyFill="1" applyBorder="1" applyAlignment="1" quotePrefix="0" pivotButton="0">
      <alignment horizontal="left" wrapText="1"/>
    </xf>
    <xf fontId="24" fillId="7" borderId="1" numFmtId="14" xfId="0" applyNumberFormat="1" applyFont="1" applyFill="1" applyBorder="1" applyAlignment="1" quotePrefix="0" pivotButton="0">
      <alignment horizontal="center"/>
    </xf>
    <xf fontId="24" fillId="7" borderId="1" numFmtId="164" xfId="0" applyNumberFormat="1" applyFont="1" applyFill="1" applyBorder="1" applyAlignment="1" quotePrefix="0" pivotButton="0">
      <alignment horizontal="center" vertical="center"/>
    </xf>
    <xf fontId="25" fillId="3" borderId="1" numFmtId="164" xfId="0" applyNumberFormat="1" applyFont="1" applyFill="1" applyBorder="1" quotePrefix="0" pivotButton="0"/>
    <xf fontId="24" fillId="7" borderId="1" numFmtId="168" xfId="0" applyNumberFormat="1" applyFont="1" applyFill="1" applyBorder="1" applyAlignment="1" quotePrefix="0" pivotButton="0">
      <alignment horizontal="center"/>
    </xf>
    <xf fontId="24" fillId="7" borderId="1" numFmtId="169" xfId="0" applyNumberFormat="1" applyFont="1" applyFill="1" applyBorder="1" applyAlignment="1" quotePrefix="0" pivotButton="0">
      <alignment horizontal="center" vertical="center"/>
    </xf>
    <xf fontId="24" fillId="9" borderId="1" numFmtId="169" xfId="0" applyNumberFormat="1" applyFont="1" applyFill="1" applyBorder="1" applyAlignment="1" quotePrefix="0" pivotButton="0">
      <alignment horizontal="center" vertical="center"/>
    </xf>
    <xf fontId="24" fillId="3" borderId="1" numFmtId="164" xfId="0" applyNumberFormat="1" applyFont="1" applyFill="1" applyBorder="1" applyAlignment="1" quotePrefix="0" pivotButton="0">
      <alignment horizontal="center"/>
    </xf>
    <xf fontId="26" fillId="7" borderId="1" numFmtId="14" xfId="0" applyNumberFormat="1" applyFont="1" applyFill="1" applyBorder="1" applyAlignment="1" quotePrefix="0" pivotButton="0">
      <alignment horizontal="center"/>
    </xf>
    <xf fontId="26" fillId="7" borderId="1" numFmtId="168" xfId="0" applyNumberFormat="1" applyFont="1" applyFill="1" applyBorder="1" applyAlignment="1" quotePrefix="0" pivotButton="0">
      <alignment horizontal="center"/>
    </xf>
    <xf fontId="24" fillId="7" borderId="1" numFmtId="170" xfId="0" applyNumberFormat="1" applyFont="1" applyFill="1" applyBorder="1" applyAlignment="1" quotePrefix="0" pivotButton="0">
      <alignment horizontal="center"/>
    </xf>
    <xf fontId="27" fillId="3" borderId="1" numFmtId="164" xfId="0" applyNumberFormat="1" applyFont="1" applyFill="1" applyBorder="1" applyAlignment="1" quotePrefix="0" pivotButton="0">
      <alignment horizontal="left" wrapText="1"/>
    </xf>
    <xf fontId="19" fillId="3" borderId="1" numFmtId="164" xfId="0" applyNumberFormat="1" applyFont="1" applyFill="1" applyBorder="1" applyAlignment="1" quotePrefix="0" pivotButton="0">
      <alignment horizontal="left" wrapText="1"/>
    </xf>
    <xf fontId="19" fillId="7" borderId="1" numFmtId="170" xfId="0" applyNumberFormat="1" applyFont="1" applyFill="1" applyBorder="1" applyAlignment="1" quotePrefix="0" pivotButton="0">
      <alignment horizontal="center"/>
    </xf>
    <xf fontId="24" fillId="7" borderId="1" numFmtId="171" xfId="0" applyNumberFormat="1" applyFont="1" applyFill="1" applyBorder="1" applyAlignment="1" quotePrefix="0" pivotButton="0">
      <alignment horizontal="center" vertical="center"/>
    </xf>
    <xf fontId="28" fillId="3" borderId="1" numFmtId="164" xfId="0" applyNumberFormat="1" applyFont="1" applyFill="1" applyBorder="1" quotePrefix="0" pivotButton="0"/>
    <xf fontId="19" fillId="0" borderId="10" numFmtId="164" xfId="0" applyNumberFormat="1" applyFont="1" applyBorder="1" applyAlignment="1" quotePrefix="0" pivotButton="0">
      <alignment horizontal="left"/>
    </xf>
    <xf fontId="19" fillId="0" borderId="10" numFmtId="164" xfId="0" applyNumberFormat="1" applyFont="1" applyBorder="1" quotePrefix="0" pivotButton="0"/>
    <xf fontId="13" fillId="0" borderId="10" numFmtId="164" xfId="0" applyNumberFormat="1" applyFont="1" applyBorder="1" applyAlignment="1" quotePrefix="0" pivotButton="0">
      <alignment horizontal="left"/>
    </xf>
    <xf fontId="19" fillId="0" borderId="10" numFmtId="169" xfId="0" applyNumberFormat="1" applyFont="1" applyBorder="1" quotePrefix="0" pivotButton="0"/>
    <xf fontId="19" fillId="0" borderId="0" numFmtId="164" xfId="0" applyNumberFormat="1" applyFont="1" quotePrefix="0" pivotButton="0"/>
    <xf fontId="19" fillId="0" borderId="10" numFmtId="169" xfId="0" applyNumberFormat="1" applyFont="1" applyBorder="1" applyAlignment="1" quotePrefix="0" pivotButton="0">
      <alignment horizontal="center" vertical="center"/>
    </xf>
    <xf fontId="9" fillId="0" borderId="0" numFmtId="164" xfId="0" applyNumberFormat="1" applyFont="1" applyAlignment="1" quotePrefix="0" pivotButton="0">
      <alignment horizontal="center"/>
    </xf>
    <xf fontId="29" fillId="0" borderId="0" numFmtId="164" xfId="0" applyNumberFormat="1" applyFont="1" quotePrefix="0" pivotButton="0"/>
    <xf fontId="30" fillId="0" borderId="0" numFmtId="164" xfId="0" applyNumberFormat="1" applyFont="1" quotePrefix="0" pivotButton="0"/>
    <xf fontId="29" fillId="0" borderId="0" numFmtId="14" xfId="0" applyNumberFormat="1" applyFont="1" quotePrefix="0" pivotButton="0"/>
    <xf fontId="2" fillId="10" borderId="0" numFmtId="164" xfId="0" applyNumberFormat="1" applyFont="1" applyFill="1" applyAlignment="1" quotePrefix="0" pivotButton="0">
      <alignment wrapText="1"/>
    </xf>
    <xf fontId="31" fillId="10" borderId="0" numFmtId="164" xfId="0" applyNumberFormat="1" applyFont="1" applyFill="1" applyAlignment="1" quotePrefix="0" pivotButton="0">
      <alignment wrapText="1"/>
    </xf>
    <xf fontId="32" fillId="11" borderId="1" numFmtId="164" xfId="0" applyNumberFormat="1" applyFont="1" applyFill="1" applyBorder="1" applyAlignment="1" quotePrefix="0" pivotButton="0">
      <alignment wrapText="1"/>
    </xf>
    <xf fontId="31" fillId="10" borderId="1" numFmtId="164" xfId="0" applyNumberFormat="1" applyFont="1" applyFill="1" applyBorder="1" applyAlignment="1" quotePrefix="0" pivotButton="0">
      <alignment wrapText="1"/>
    </xf>
    <xf fontId="31" fillId="10" borderId="0" numFmtId="164" xfId="0" applyNumberFormat="1" applyFont="1" applyFill="1" applyAlignment="1" quotePrefix="0" pivotButton="0">
      <alignment horizontal="left" wrapText="1"/>
    </xf>
    <xf fontId="31" fillId="10" borderId="1" numFmtId="164" xfId="0" applyNumberFormat="1" applyFont="1" applyFill="1" applyBorder="1" applyAlignment="1" quotePrefix="0" pivotButton="0">
      <alignment horizontal="left" wrapText="1"/>
    </xf>
    <xf fontId="31" fillId="10" borderId="9" numFmtId="164" xfId="0" applyNumberFormat="1" applyFont="1" applyFill="1" applyBorder="1" applyAlignment="1" quotePrefix="0" pivotButton="0">
      <alignment wrapText="1"/>
    </xf>
    <xf fontId="32" fillId="11" borderId="1" numFmtId="164" xfId="0" applyNumberFormat="1" applyFont="1" applyFill="1" applyBorder="1" applyAlignment="1" quotePrefix="0" pivotButton="0">
      <alignment horizontal="center" wrapText="1"/>
    </xf>
    <xf fontId="32" fillId="8" borderId="1" numFmtId="164" xfId="0" applyNumberFormat="1" applyFont="1" applyFill="1" applyBorder="1" applyAlignment="1" quotePrefix="0" pivotButton="0">
      <alignment horizontal="center" wrapText="1"/>
    </xf>
    <xf fontId="31" fillId="3" borderId="1" numFmtId="164" xfId="0" applyNumberFormat="1" applyFont="1" applyFill="1" applyBorder="1" applyAlignment="1" quotePrefix="0" pivotButton="0">
      <alignment horizontal="center" wrapText="1"/>
    </xf>
    <xf fontId="31" fillId="12" borderId="1" numFmtId="164" xfId="0" applyNumberFormat="1" applyFont="1" applyFill="1" applyBorder="1" applyAlignment="1" quotePrefix="0" pivotButton="0">
      <alignment horizontal="center" wrapText="1"/>
    </xf>
    <xf fontId="31" fillId="10" borderId="1" numFmtId="164" xfId="0" applyNumberFormat="1" applyFont="1" applyFill="1" applyBorder="1" applyAlignment="1" quotePrefix="0" pivotButton="0">
      <alignment horizontal="center" wrapText="1"/>
    </xf>
    <xf fontId="33" fillId="2" borderId="5" numFmtId="164" xfId="0" applyNumberFormat="1" applyFont="1" applyFill="1" applyBorder="1" applyAlignment="1" quotePrefix="0" pivotButton="0">
      <alignment horizontal="center"/>
    </xf>
    <xf fontId="32" fillId="11" borderId="9" numFmtId="164" xfId="0" applyNumberFormat="1" applyFont="1" applyFill="1" applyBorder="1" applyAlignment="1" quotePrefix="0" pivotButton="0">
      <alignment vertical="center" wrapText="1"/>
    </xf>
    <xf fontId="32" fillId="11" borderId="3" numFmtId="164" xfId="0" applyNumberFormat="1" applyFont="1" applyFill="1" applyBorder="1" applyAlignment="1" quotePrefix="0" pivotButton="0">
      <alignment horizontal="center" vertical="center" wrapText="1"/>
    </xf>
    <xf fontId="32" fillId="11" borderId="1" numFmtId="164" xfId="0" applyNumberFormat="1" applyFont="1" applyFill="1" applyBorder="1" applyAlignment="1" quotePrefix="0" pivotButton="0">
      <alignment horizontal="center" vertical="center" wrapText="1"/>
    </xf>
    <xf fontId="32" fillId="10" borderId="0" numFmtId="164" xfId="0" applyNumberFormat="1" applyFont="1" applyFill="1" applyAlignment="1" quotePrefix="0" pivotButton="0">
      <alignment horizontal="center" vertical="center" wrapText="1"/>
    </xf>
    <xf fontId="16" fillId="13" borderId="1" numFmtId="0" xfId="0" applyFont="1" applyFill="1" applyBorder="1" quotePrefix="0" pivotButton="0"/>
    <xf fontId="32" fillId="13" borderId="1" numFmtId="164" xfId="0" applyNumberFormat="1" applyFont="1" applyFill="1" applyBorder="1" applyAlignment="1" quotePrefix="0" pivotButton="0">
      <alignment horizontal="center" vertical="center" wrapText="1"/>
    </xf>
    <xf fontId="32" fillId="13" borderId="7" numFmtId="164" xfId="0" applyNumberFormat="1" applyFont="1" applyFill="1" applyBorder="1" applyAlignment="1" quotePrefix="0" pivotButton="0">
      <alignment horizontal="center" vertical="center" wrapText="1"/>
    </xf>
    <xf fontId="31" fillId="10" borderId="0" numFmtId="164" xfId="0" applyNumberFormat="1" applyFont="1" applyFill="1" applyAlignment="1" quotePrefix="0" pivotButton="0">
      <alignment vertical="top" wrapText="1"/>
    </xf>
    <xf fontId="0" fillId="0" borderId="11" numFmtId="0" xfId="0" applyBorder="1" quotePrefix="0" pivotButton="0"/>
    <xf fontId="31" fillId="3" borderId="1" numFmtId="166" xfId="0" applyNumberFormat="1" applyFont="1" applyFill="1" applyBorder="1" applyAlignment="1" quotePrefix="0" pivotButton="0">
      <alignment horizontal="center" vertical="center" wrapText="1"/>
    </xf>
    <xf fontId="31" fillId="3" borderId="1" numFmtId="166" xfId="0" applyNumberFormat="1" applyFont="1" applyFill="1" applyBorder="1" applyAlignment="1" quotePrefix="0" pivotButton="0">
      <alignment horizontal="left" vertical="center" wrapText="1"/>
    </xf>
    <xf fontId="24" fillId="7" borderId="1" numFmtId="170" xfId="0" applyNumberFormat="1" applyFont="1" applyFill="1" applyBorder="1" applyAlignment="1" quotePrefix="0" pivotButton="0">
      <alignment horizontal="center" wrapText="1"/>
    </xf>
    <xf fontId="31" fillId="12" borderId="1" numFmtId="164" xfId="0" applyNumberFormat="1" applyFont="1" applyFill="1" applyBorder="1" applyAlignment="1" quotePrefix="0" pivotButton="0">
      <alignment horizontal="center" vertical="center" wrapText="1"/>
    </xf>
    <xf fontId="32" fillId="10" borderId="1" numFmtId="164" xfId="0" applyNumberFormat="1" applyFont="1" applyFill="1" applyBorder="1" applyAlignment="1" quotePrefix="0" pivotButton="0">
      <alignment horizontal="center" vertical="center" wrapText="1"/>
    </xf>
    <xf fontId="31" fillId="12" borderId="1" numFmtId="164" xfId="0" applyNumberFormat="1" applyFont="1" applyFill="1" applyBorder="1" applyAlignment="1" quotePrefix="0" pivotButton="0">
      <alignment vertical="top" wrapText="1"/>
    </xf>
    <xf fontId="31" fillId="12" borderId="7" numFmtId="164" xfId="0" applyNumberFormat="1" applyFont="1" applyFill="1" applyBorder="1" applyAlignment="1" quotePrefix="0" pivotButton="0">
      <alignment vertical="top" wrapText="1"/>
    </xf>
    <xf fontId="31" fillId="12" borderId="1" numFmtId="172" xfId="0" applyNumberFormat="1" applyFont="1" applyFill="1" applyBorder="1" applyAlignment="1" quotePrefix="0" pivotButton="0">
      <alignment horizontal="center" vertical="center" wrapText="1"/>
    </xf>
    <xf fontId="16" fillId="12" borderId="1" numFmtId="0" xfId="0" applyFont="1" applyFill="1" applyBorder="1" quotePrefix="0" pivotButton="0"/>
    <xf fontId="34" fillId="2" borderId="1" numFmtId="164" xfId="0" applyNumberFormat="1" applyFont="1" applyFill="1" applyBorder="1" applyAlignment="1" quotePrefix="0" pivotButton="0">
      <alignment horizontal="center"/>
    </xf>
    <xf fontId="11" fillId="8" borderId="1" numFmtId="164" xfId="0" applyNumberFormat="1" applyFont="1" applyFill="1" applyBorder="1" applyAlignment="1" quotePrefix="0" pivotButton="0">
      <alignment horizontal="center" wrapText="1"/>
    </xf>
    <xf fontId="9" fillId="10" borderId="0" numFmtId="164" xfId="0" applyNumberFormat="1" applyFont="1" applyFill="1" applyAlignment="1" quotePrefix="0" pivotButton="0">
      <alignment wrapText="1"/>
    </xf>
    <xf fontId="12" fillId="3" borderId="1" numFmtId="164" xfId="0" applyNumberFormat="1" applyFont="1" applyFill="1" applyBorder="1" applyAlignment="1" quotePrefix="0" pivotButton="0">
      <alignment horizontal="center" wrapText="1"/>
    </xf>
    <xf fontId="12" fillId="12" borderId="1" numFmtId="164" xfId="0" applyNumberFormat="1" applyFont="1" applyFill="1" applyBorder="1" applyAlignment="1" quotePrefix="0" pivotButton="0">
      <alignment horizontal="center" wrapText="1"/>
    </xf>
    <xf fontId="12" fillId="10" borderId="1" numFmtId="164" xfId="0" applyNumberFormat="1" applyFont="1" applyFill="1" applyBorder="1" applyAlignment="1" quotePrefix="0" pivotButton="0">
      <alignment horizontal="center" wrapText="1"/>
    </xf>
    <xf fontId="11" fillId="11" borderId="1" numFmtId="164" xfId="0" applyNumberFormat="1" applyFont="1" applyFill="1" applyBorder="1" applyAlignment="1" quotePrefix="0" pivotButton="0">
      <alignment horizontal="center" vertical="center" wrapText="1"/>
    </xf>
    <xf fontId="11" fillId="13" borderId="1" numFmtId="164" xfId="0" applyNumberFormat="1" applyFont="1" applyFill="1" applyBorder="1" applyAlignment="1" quotePrefix="0" pivotButton="0">
      <alignment vertical="center" wrapText="1"/>
    </xf>
    <xf fontId="11" fillId="13" borderId="1" numFmtId="164" xfId="0" applyNumberFormat="1" applyFont="1" applyFill="1" applyBorder="1" applyAlignment="1" quotePrefix="0" pivotButton="0">
      <alignment horizontal="center" vertical="center" wrapText="1"/>
    </xf>
    <xf fontId="12" fillId="13" borderId="1" numFmtId="164" xfId="0" applyNumberFormat="1" applyFont="1" applyFill="1" applyBorder="1" applyAlignment="1" quotePrefix="0" pivotButton="0">
      <alignment vertical="center" wrapText="1"/>
    </xf>
    <xf fontId="12" fillId="12" borderId="1" numFmtId="164" xfId="0" applyNumberFormat="1" applyFont="1" applyFill="1" applyBorder="1" applyAlignment="1" quotePrefix="0" pivotButton="0">
      <alignment horizontal="center" vertical="center" wrapText="1"/>
    </xf>
    <xf fontId="11" fillId="11" borderId="1" numFmtId="164" xfId="0" applyNumberFormat="1" applyFont="1" applyFill="1" applyBorder="1" applyAlignment="1" quotePrefix="0" pivotButton="0">
      <alignment horizontal="right" vertical="center" wrapText="1"/>
    </xf>
    <xf fontId="35" fillId="0" borderId="1" numFmtId="164" xfId="0" applyNumberFormat="1" applyFont="1" applyBorder="1" applyAlignment="1" quotePrefix="0" pivotButton="0">
      <alignment horizontal="center" vertical="center"/>
    </xf>
    <xf fontId="11" fillId="11" borderId="7" numFmtId="164" xfId="0" applyNumberFormat="1" applyFont="1" applyFill="1" applyBorder="1" applyAlignment="1" quotePrefix="0" pivotButton="0">
      <alignment horizontal="right" vertical="center" wrapText="1"/>
    </xf>
    <xf fontId="11" fillId="10" borderId="1" numFmtId="164" xfId="0" applyNumberFormat="1" applyFont="1" applyFill="1" applyBorder="1" applyAlignment="1" quotePrefix="0" pivotButton="0">
      <alignment horizontal="center" vertical="center" wrapText="1"/>
    </xf>
    <xf fontId="36" fillId="10" borderId="1" numFmtId="164" xfId="0" applyNumberFormat="1" applyFont="1" applyFill="1" applyBorder="1" applyAlignment="1" quotePrefix="0" pivotButton="0">
      <alignment horizontal="center" vertical="center"/>
    </xf>
    <xf fontId="2" fillId="3" borderId="1" numFmtId="164" xfId="0" applyNumberFormat="1" applyFont="1" applyFill="1" applyBorder="1" applyAlignment="1" quotePrefix="0" pivotButton="0">
      <alignment horizontal="center" vertical="center"/>
    </xf>
    <xf fontId="37" fillId="2" borderId="1" numFmtId="164" xfId="0" applyNumberFormat="1" applyFont="1" applyFill="1" applyBorder="1" applyAlignment="1" quotePrefix="0" pivotButton="0">
      <alignment horizontal="right" vertical="center" wrapText="1"/>
    </xf>
    <xf fontId="34" fillId="2" borderId="1" numFmtId="166" xfId="0" applyNumberFormat="1" applyFont="1" applyFill="1" applyBorder="1" applyAlignment="1" quotePrefix="0" pivotButton="0">
      <alignment horizontal="center" vertical="center"/>
    </xf>
    <xf fontId="38" fillId="2" borderId="6" numFmtId="164" xfId="0" applyNumberFormat="1" applyFont="1" applyFill="1" applyBorder="1" applyAlignment="1" quotePrefix="0" pivotButton="0">
      <alignment horizontal="center"/>
    </xf>
    <xf fontId="36" fillId="4" borderId="1" numFmtId="164" xfId="0" applyNumberFormat="1" applyFont="1" applyFill="1" applyBorder="1" quotePrefix="0" pivotButton="0"/>
    <xf fontId="2" fillId="6" borderId="1" numFmtId="166" xfId="0" applyNumberFormat="1" applyFont="1" applyFill="1" applyBorder="1" applyAlignment="1" quotePrefix="0" pivotButton="0">
      <alignment horizontal="center"/>
    </xf>
    <xf fontId="28" fillId="4" borderId="1" numFmtId="164" xfId="0" applyNumberFormat="1" applyFont="1" applyFill="1" applyBorder="1" applyAlignment="1" quotePrefix="0" pivotButton="0">
      <alignment horizontal="center" vertical="center"/>
    </xf>
    <xf fontId="28" fillId="4" borderId="1" numFmtId="164" xfId="0" applyNumberFormat="1" applyFont="1" applyFill="1" applyBorder="1" applyAlignment="1" quotePrefix="0" pivotButton="0">
      <alignment horizontal="center"/>
    </xf>
    <xf fontId="28" fillId="4" borderId="1" numFmtId="164" xfId="0" applyNumberFormat="1" applyFont="1" applyFill="1" applyBorder="1" quotePrefix="0" pivotButton="0"/>
    <xf fontId="0" fillId="0" borderId="8" numFmtId="0" xfId="0" applyBorder="1" quotePrefix="0" pivotButton="0"/>
    <xf fontId="36" fillId="4" borderId="1" numFmtId="164" xfId="0" applyNumberFormat="1" applyFont="1" applyFill="1" applyBorder="1" applyAlignment="1" quotePrefix="0" pivotButton="0">
      <alignment horizontal="left"/>
    </xf>
    <xf fontId="28" fillId="4" borderId="1" numFmtId="166" xfId="0" applyNumberFormat="1" applyFont="1" applyFill="1" applyBorder="1" applyAlignment="1" quotePrefix="0" pivotButton="0">
      <alignment horizontal="center"/>
    </xf>
    <xf fontId="19" fillId="4" borderId="1" numFmtId="166" xfId="0" applyNumberFormat="1" applyFont="1" applyFill="1" applyBorder="1" applyAlignment="1" quotePrefix="0" pivotButton="0">
      <alignment horizontal="center"/>
    </xf>
    <xf fontId="19" fillId="4" borderId="1" numFmtId="164" xfId="0" applyNumberFormat="1" applyFont="1" applyFill="1" applyBorder="1" quotePrefix="0" pivotButton="0"/>
    <xf fontId="17" fillId="0" borderId="1" numFmtId="166" xfId="0" applyNumberFormat="1" applyFont="1" applyBorder="1" applyAlignment="1" quotePrefix="0" pivotButton="0">
      <alignment horizontal="center" vertical="center"/>
    </xf>
    <xf fontId="18" fillId="8" borderId="1" numFmtId="164" xfId="0" applyNumberFormat="1" applyFont="1" applyFill="1" applyBorder="1" quotePrefix="0" pivotButton="0"/>
    <xf fontId="18" fillId="8" borderId="1" numFmtId="164" xfId="0" applyNumberFormat="1" applyFont="1" applyFill="1" applyBorder="1" applyAlignment="1" quotePrefix="0" pivotButton="0">
      <alignment horizontal="center"/>
    </xf>
    <xf fontId="36" fillId="4" borderId="1" numFmtId="166" xfId="0" applyNumberFormat="1" applyFont="1" applyFill="1" applyBorder="1" applyAlignment="1" quotePrefix="0" pivotButton="0">
      <alignment horizontal="center"/>
    </xf>
    <xf fontId="28" fillId="14" borderId="1" numFmtId="164" xfId="0" applyNumberFormat="1" applyFont="1" applyFill="1" applyBorder="1" quotePrefix="0" pivotButton="0"/>
    <xf fontId="28" fillId="14" borderId="1" numFmtId="166" xfId="0" applyNumberFormat="1" applyFont="1" applyFill="1" applyBorder="1" applyAlignment="1" quotePrefix="0" pivotButton="0">
      <alignment horizontal="center"/>
    </xf>
    <xf fontId="28" fillId="14" borderId="1" numFmtId="165" xfId="0" applyNumberFormat="1" applyFont="1" applyFill="1" applyBorder="1" applyAlignment="1" quotePrefix="0" pivotButton="0">
      <alignment horizontal="center"/>
    </xf>
    <xf fontId="18" fillId="8" borderId="1" numFmtId="166" xfId="0" applyNumberFormat="1" applyFont="1" applyFill="1" applyBorder="1" applyAlignment="1" quotePrefix="0" pivotButton="0">
      <alignment horizontal="center"/>
    </xf>
    <xf fontId="21" fillId="10" borderId="1" numFmtId="166" xfId="0" applyNumberFormat="1" applyFont="1" applyFill="1" applyBorder="1" applyAlignment="1" quotePrefix="0" pivotButton="0">
      <alignment horizontal="center"/>
    </xf>
    <xf fontId="39" fillId="4" borderId="1" numFmtId="165" xfId="0" applyNumberFormat="1" applyFont="1" applyFill="1" applyBorder="1" applyAlignment="1" quotePrefix="0" pivotButton="0">
      <alignment horizontal="center"/>
    </xf>
    <xf fontId="21" fillId="0" borderId="1" numFmtId="166" xfId="0" applyNumberFormat="1" applyFont="1" applyBorder="1" applyAlignment="1" quotePrefix="0" pivotButton="0">
      <alignment horizontal="center" vertical="center"/>
    </xf>
    <xf fontId="28" fillId="3" borderId="1" numFmtId="167" xfId="0" applyNumberFormat="1" applyFont="1" applyFill="1" applyBorder="1" applyAlignment="1" quotePrefix="0" pivotButton="0">
      <alignment horizontal="center"/>
    </xf>
    <xf fontId="17" fillId="4" borderId="1" numFmtId="167" xfId="0" applyNumberFormat="1" applyFont="1" applyFill="1" applyBorder="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one" id="{DE987283-2837-29DB-0DEB-BC797D1CB21F}"/>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2" personId="{DE987283-2837-29DB-0DEB-BC797D1CB21F}" id="{004D0097-00F9-4147-A16E-009B00B3006E}" done="0">
    <text xml:space="preserve">======
ID#AAAB41pieXc
tc={59bdf1ea-fc83-4965-b5f1-68f5c047a12b}    (2026-04-03 21:43:32)
[Threaded comment]
 Your version of Excel allows you to read this threaded comment; however, any edits to it will get removed if the file is opened in a newer version of Excel. Learn more: https://go.microsoft.com/fwlink/?linkid=870924
Comment:
	Preencher as células em amarelo.
</text>
  </threadedComment>
</ThreadedComments>
</file>

<file path=xl/threadedComments/threadedComment2.xml><?xml version="1.0" encoding="utf-8"?>
<ThreadedComments xmlns="http://schemas.microsoft.com/office/spreadsheetml/2018/threadedcomments" xmlns:x="http://schemas.openxmlformats.org/spreadsheetml/2006/main">
  <threadedComment ref="A3" personId="{DE987283-2837-29DB-0DEB-BC797D1CB21F}" id="{004F003F-005E-4E38-AF5E-000A00950067}" done="0">
    <text xml:space="preserve">======
ID#AAAB41nGtnw
tc={74c5a5b7-ec60-4eef-ab52-1b6abb7c5201}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
</text>
  </threadedComment>
  <threadedComment ref="B3" personId="{DE987283-2837-29DB-0DEB-BC797D1CB21F}" id="{00D90055-006A-4B57-8256-00FE00AC00F5}" done="0">
    <text xml:space="preserve">======
ID#AAAB41pieWw
tc={ea2f15a6-837a-4882-9c8d-466b25f6880b}    (2026-04-03 21:43:32)
[Threaded comment]
 Your version of Excel allows you to read this threaded comment; however, any edits to it will get removed if the file is opened in a newer version of Excel. Learn more: https://go.microsoft.com/fwlink/?linkid=870924
Comment: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
</text>
  </threadedComment>
  <threadedComment ref="C3" personId="{DE987283-2837-29DB-0DEB-BC797D1CB21F}" id="{000500A7-0004-4AD9-9E6F-0099006D0072}" done="0">
    <text xml:space="preserve">======
ID#AAAB41zX9gg
tc={1489282f-01d1-40a3-a545-a28ec29b4a27}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
</text>
  </threadedComment>
  <threadedComment ref="D3" personId="{DE987283-2837-29DB-0DEB-BC797D1CB21F}" id="{00D400B4-00D7-4105-9C65-006F00D10009}" done="0">
    <text xml:space="preserve">======
ID#AAAB41pieW4
tc={c42c401c-8c05-4cbd-baad-da9e6c07cdb6}    (2026-04-03 21:43:32)
[Threaded comment]
 Your version of Excel allows you to read this threaded comment; however, any edits to it will get removed if the file is opened in a newer version of Excel. Learn more: https://go.microsoft.com/fwlink/?linkid=870924
Comment:
	Resultado do Planning Poker, convertido para horas.
</text>
  </threadedComment>
  <threadedComment ref="F3" personId="{DE987283-2837-29DB-0DEB-BC797D1CB21F}" id="{00A90030-00D0-44B4-941A-000D00D3003D}" done="0">
    <text xml:space="preserve">======
ID#AAAB41pieXE
tc={370b326e-940b-4b8d-902b-c6dd295adf76}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
</text>
  </threadedComment>
  <threadedComment ref="G3" personId="{DE987283-2837-29DB-0DEB-BC797D1CB21F}" id="{00CC0083-00A3-4FD8-9717-006F00F60062}" done="0">
    <text xml:space="preserve">======
ID#AAAB41pieWk
tc={ad5cb353-9197-47d4-ac04-de693a1d079a}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
</text>
  </threadedComment>
  <threadedComment ref="K4" personId="{DE987283-2837-29DB-0DEB-BC797D1CB21F}" id="{00E9004A-0046-4FF1-BB02-008900BD0022}" done="0">
    <text xml:space="preserve">======
ID#AAAB41nGtnY
tc={6df3fd44-0631-492d-96ab-e22b4fed8f38}    (2026-04-03 21:43:32)
[Threaded comment]
 Your version of Excel allows you to read this threaded comment; however, any edits to it will get removed if the file is opened in a newer version of Excel. Learn more: https://go.microsoft.com/fwlink/?linkid=870924
Comment:
	Pontue de 0 a 10.
C = Complexidade Técnica: Qual a complexidade técnica (tecnologia) da história?
</text>
  </threadedComment>
  <threadedComment ref="L4" personId="{DE987283-2837-29DB-0DEB-BC797D1CB21F}" id="{008E00D5-0073-4699-B42A-00BF003000FA}" done="0">
    <text xml:space="preserve">======
ID#AAAB41nGtoA
tc={a75b2a67-8b1f-4319-ad5a-68bea0157c89}    (2026-04-03 21:43:32)
[Threaded comment]
 Your version of Excel allows you to read this threaded comment; however, any edits to it will get removed if the file is opened in a newer version of Excel. Learn more: https://go.microsoft.com/fwlink/?linkid=870924
Comment:
	Tem prioridade as de maior peso.
</text>
  </threadedComment>
  <threadedComment ref="H4" personId="{DE987283-2837-29DB-0DEB-BC797D1CB21F}" id="{00B000A7-002A-49F9-8001-006D005E00BA}" done="0">
    <text xml:space="preserve">======
ID#AAAB2-oO_J4
tc={d9e723ff-623d-4d7a-a540-71332d72eddf}    (2026-04-03 21:43:32)
[Threaded comment]
 Your version of Excel allows you to read this threaded comment; however, any edits to it will get removed if the file is opened in a newer version of Excel. Learn more: https://go.microsoft.com/fwlink/?linkid=870924
Comment:
	Pontue de 0 a 10.
V = Valor: Quanto de valor a história de usuário representa para o usuário final?
</text>
  </threadedComment>
  <threadedComment ref="I4" personId="{DE987283-2837-29DB-0DEB-BC797D1CB21F}" id="{002700F9-002E-4551-9F9A-006000D50008}" done="0">
    <text xml:space="preserve">======
ID#AAAB41pieWU
tc={4f18e70b-b4e3-4c9b-8aa6-3d4264e6bf1e}    (2026-04-03 21:43:32)
[Threaded comment]
 Your version of Excel allows you to read this threaded comment; however, any edits to it will get removed if the file is opened in a newer version of Excel. Learn more: https://go.microsoft.com/fwlink/?linkid=870924
Comment:
	Pontue de 0 a 10.
R = Risco: Qual é o risco desta história não ser entregue?
</text>
  </threadedComment>
  <threadedComment ref="J4" personId="{DE987283-2837-29DB-0DEB-BC797D1CB21F}" id="{002D0037-0083-4975-A231-005A002C00DD}" done="0">
    <text xml:space="preserve">======
ID#AAAB41zX9gs
tc={769193cb-eac1-4eaf-8f21-fff43252ab10}    (2026-04-03 21:43:32)
[Threaded comment]
 Your version of Excel allows you to read this threaded comment; however, any edits to it will get removed if the file is opened in a newer version of Excel. Learn more: https://go.microsoft.com/fwlink/?linkid=870924
Comment: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
</text>
  </threadedComment>
</ThreadedComments>
</file>

<file path=xl/threadedComments/threadedComment3.xml><?xml version="1.0" encoding="utf-8"?>
<ThreadedComments xmlns="http://schemas.microsoft.com/office/spreadsheetml/2018/threadedcomments" xmlns:x="http://schemas.openxmlformats.org/spreadsheetml/2006/main">
  <threadedComment ref="A3" personId="{DE987283-2837-29DB-0DEB-BC797D1CB21F}" id="{00E30082-00F6-4D4B-BFA5-009200790007}" done="0">
    <text xml:space="preserve">======
ID#AAAB41nGtnk
tc={7926d3c2-df91-4b88-9292-3a1b3171d10e}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
</text>
  </threadedComment>
  <threadedComment ref="B4" personId="{DE987283-2837-29DB-0DEB-BC797D1CB21F}" id="{00CC002C-0095-4E4E-82F5-003200DB00A5}" done="0">
    <text xml:space="preserve">======
ID#AAAB41pieW0
tc={6a0de85c-2b5b-4c8c-bf2b-eb7b9bab253e}    (2026-04-03 21:43:32)
[Threaded comment]
 Your version of Excel allows you to read this threaded comment; however, any edits to it will get removed if the file is opened in a newer version of Excel. Learn more: https://go.microsoft.com/fwlink/?linkid=870924
Comment: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
</text>
  </threadedComment>
  <threadedComment ref="E5" personId="{DE987283-2837-29DB-0DEB-BC797D1CB21F}" id="{0050003F-0033-410D-84C7-00D800F200AF}" done="0">
    <text xml:space="preserve">======
ID#AAAB41zX9go
tc={219cf979-a06a-4f2d-8fa8-dfb03cd8d71d}    (2026-04-03 21:43:32)
[Threaded comment]
 Your version of Excel allows you to read this threaded comment; however, any edits to it will get removed if the file is opened in a newer version of Excel. Learn more: https://go.microsoft.com/fwlink/?linkid=870924
Comment:
	As Sprints devem ser criadas no GitHub
</text>
  </threadedComment>
</ThreadedComments>
</file>

<file path=xl/threadedComments/threadedComment4.xml><?xml version="1.0" encoding="utf-8"?>
<ThreadedComments xmlns="http://schemas.microsoft.com/office/spreadsheetml/2018/threadedcomments" xmlns:x="http://schemas.openxmlformats.org/spreadsheetml/2006/main">
  <threadedComment ref="B48" personId="{DE987283-2837-29DB-0DEB-BC797D1CB21F}" id="{003B00F7-00E6-41AC-B5E5-00150062006B}" done="0">
    <text xml:space="preserve">======
ID#AAAB41nGtoE
tc={64a28d8e-8a0b-46c7-901c-3a0a616f451f}    (2026-04-03 21:43:32)
[Threaded comment]
 Your version of Excel allows you to read this threaded comment; however, any edits to it will get removed if the file is opened in a newer version of Excel. Learn more: https://go.microsoft.com/fwlink/?linkid=870924
Comment:
	Descrição do Risco
Sentença que descreve o risco, definindo o evento que, ao ocorrer, causa impacto no projeto.
</text>
  </threadedComment>
  <threadedComment ref="C48" personId="{DE987283-2837-29DB-0DEB-BC797D1CB21F}" id="{003B0043-0088-4462-B9BE-00F1005400F9}" done="0">
    <text xml:space="preserve">======
ID#AAAB41pieW8
tc={20393b48-b96d-45a8-baae-cf6a18e8ced7}    (2026-04-03 21:43:32)
[Threaded comment]
 Your version of Excel allows you to read this threaded comment; however, any edits to it will get removed if the file is opened in a newer version of Excel. Learn more: https://go.microsoft.com/fwlink/?linkid=870924
Comment:
	Data:
Data da identificação do risco ou da alteração de seus atributos durante o monitoramento e controle de riscos.
</text>
  </threadedComment>
  <threadedComment ref="D48" personId="{DE987283-2837-29DB-0DEB-BC797D1CB21F}" id="{00650048-0039-45FA-90E1-006500F500C8}" done="0">
    <text xml:space="preserve">======
ID#AAAB41pieWs
tc={fdce543c-8c92-4cbd-87b7-bc4faf8831e3}    (2026-04-03 21:43:32)
[Threaded comment]
 Your version of Excel allows you to read this threaded comment; however, any edits to it will get removed if the file is opened in a newer version of Excel. Learn more: https://go.microsoft.com/fwlink/?linkid=870924
Comment:
	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ext>
  </threadedComment>
  <threadedComment ref="E48" personId="{DE987283-2837-29DB-0DEB-BC797D1CB21F}" id="{00B100DE-00DB-4C53-9385-00DF00F4001E}" done="0">
    <text xml:space="preserve">======
ID#AAAB41pieXg
tc={a607fabb-e538-434b-bc3d-790bdc74488c}    (2026-04-03 21:43:32)
[Threaded comment]
 Your version of Excel allows you to read this threaded comment; however, any edits to it will get removed if the file is opened in a newer version of Excel. Learn more: https://go.microsoft.com/fwlink/?linkid=870924
Comment:
	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ext>
  </threadedComment>
  <threadedComment ref="F48" personId="{DE987283-2837-29DB-0DEB-BC797D1CB21F}" id="{00790011-0094-46DF-BC04-00C200080094}" done="0">
    <text xml:space="preserve">======
ID#AAAB41nGtog
tc={6e75dfa1-5340-4d5d-975f-8e5e2bd7e2e9}    (2026-04-03 21:43:32)
[Threaded comment]
 Your version of Excel allows you to read this threaded comment; however, any edits to it will get removed if the file is opened in a newer version of Excel. Learn more: https://go.microsoft.com/fwlink/?linkid=870924
Comment:
	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ext>
  </threadedComment>
  <threadedComment ref="G48" personId="{DE987283-2837-29DB-0DEB-BC797D1CB21F}" id="{00FE00A1-0050-4F28-815C-00E300680097}" done="0">
    <text xml:space="preserve">======
ID#AAAB41nGtn4
tc={7fc5b332-6a2b-4f16-bcd5-f428057552a2}    (2026-04-03 21:43:32)
[Threaded comment]
 Your version of Excel allows you to read this threaded comment; however, any edits to it will get removed if the file is opened in a newer version of Excel. Learn more: https://go.microsoft.com/fwlink/?linkid=870924
Comment:
	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ext>
  </threadedComment>
  <threadedComment ref="H48" personId="{DE987283-2837-29DB-0DEB-BC797D1CB21F}" id="{00E30082-003D-4946-81AE-000D005200E9}" done="0">
    <text xml:space="preserve">======
ID#AAAB41pieXA
tc={b2c5f31a-2aa1-4186-8d28-ffe739238a20}    (2026-04-03 21:43:32)
[Threaded comment]
 Your version of Excel allows you to read this threaded comment; however, any edits to it will get removed if the file is opened in a newer version of Excel. Learn more: https://go.microsoft.com/fwlink/?linkid=870924
Comment:
	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ext>
  </threadedComment>
  <threadedComment ref="I49" personId="{DE987283-2837-29DB-0DEB-BC797D1CB21F}" id="{00B0005D-004D-446A-BCBF-007D0084001E}" done="0">
    <text xml:space="preserve">======
ID#AAAB41nGtns
tc={a7db42fd-bb32-4be5-93a0-a86e7d967866}    (2026-04-03 21:43:32)
[Threaded comment]
 Your version of Excel allows you to read this threaded comment; however, any edits to it will get removed if the file is opened in a newer version of Excel. Learn more: https://go.microsoft.com/fwlink/?linkid=870924
Comment:
	Plano de Mitigação do Risco:
Planejamento de ações que busquem reduzir a probabilidade e/ou o impacto da ocorrência do risco
</text>
  </threadedComment>
  <threadedComment ref="J49" personId="{DE987283-2837-29DB-0DEB-BC797D1CB21F}" id="{0051000D-00B8-4B57-9E79-006700C60020}" done="0">
    <text xml:space="preserve">======
ID#AAAB41nGtnc
tc={ef365428-0234-4709-ae90-3dde9f907714}    (2026-04-03 21:43:32)
[Threaded comment]
 Your version of Excel allows you to read this threaded comment; however, any edits to it will get removed if the file is opened in a newer version of Excel. Learn more: https://go.microsoft.com/fwlink/?linkid=870924
Comment:
	Plano de Contingência do Risco:
Estratégia de reação aos efeitos do risco, caso este venha a ocorrer.
</text>
  </threadedComment>
</ThreadedComments>
</file>

<file path=xl/threadedComments/threadedComment5.xml><?xml version="1.0" encoding="utf-8"?>
<ThreadedComments xmlns="http://schemas.microsoft.com/office/spreadsheetml/2018/threadedcomments" xmlns:x="http://schemas.openxmlformats.org/spreadsheetml/2006/main">
  <threadedComment ref="M11" personId="{DE987283-2837-29DB-0DEB-BC797D1CB21F}" id="{00940023-0077-44E3-996A-0070005E00AB}" done="0">
    <text xml:space="preserve">======
ID#AAAB41nGtoQ
tc={42efd8a7-ce2f-4c54-86df-da599784b67a}    (2026-04-03 21:43:32)
[Threaded comment]
 Your version of Excel allows you to read this threaded comment; however, any edits to it will get removed if the file is opened in a newer version of Excel. Learn more: https://go.microsoft.com/fwlink/?linkid=870924
Comment: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
</text>
  </threadedComment>
  <threadedComment ref="G11" personId="{DE987283-2837-29DB-0DEB-BC797D1CB21F}" id="{00AF0063-00CA-447A-9143-0032009A00D1}" done="0">
    <text xml:space="preserve">======
ID#AAAB41zX9g0
tc={c7e4c93a-423f-4cca-a8de-8331aa5a2bce}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ext>
  </threadedComment>
  <threadedComment ref="M12" personId="{DE987283-2837-29DB-0DEB-BC797D1CB21F}" id="{00B70044-00B2-4A9B-955A-00BB004A0077}" done="0">
    <text xml:space="preserve">======
ID#AAAB41pieXQ
tc={cbc81530-d770-4ba5-b5ae-2e4cf5db94e7}    (2026-04-03 21:43:32)
[Threaded comment]
 Your version of Excel allows you to read this threaded comment; however, any edits to it will get removed if the file is opened in a newer version of Excel. Learn more: https://go.microsoft.com/fwlink/?linkid=870924
Comment: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ext>
  </threadedComment>
  <threadedComment ref="G12" personId="{DE987283-2837-29DB-0DEB-BC797D1CB21F}" id="{002A0074-0078-4559-AB29-000E004300D6}" done="0">
    <text xml:space="preserve">======
ID#AAAB41pieXU
tc={ca531d0e-ea31-4b9d-bab3-f528e6b83d22}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ext>
  </threadedComment>
  <threadedComment ref="M13" personId="{DE987283-2837-29DB-0DEB-BC797D1CB21F}" id="{00660052-0024-40DC-A8CD-00A000DD00FB}" done="0">
    <text xml:space="preserve">======
ID#AAAB2-oO_J0
tc={c2c0880a-8533-4184-8510-8688bf6624ea}    (2026-04-03 21:43:32)
[Threaded comment]
 Your version of Excel allows you to read this threaded comment; however, any edits to it will get removed if the file is opened in a newer version of Excel. Learn more: https://go.microsoft.com/fwlink/?linkid=870924
Comment: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ext>
  </threadedComment>
  <threadedComment ref="G13" personId="{DE987283-2837-29DB-0DEB-BC797D1CB21F}" id="{002F0072-0007-47DE-9F88-00DC00760048}" done="0">
    <text xml:space="preserve">======
ID#AAAB41nGtng
tc={d0209eb5-1f61-4bea-b735-63bed64695e6}    (2026-04-03 21:43:32)
[Threaded comment]
 Your version of Excel allows you to read this threaded comment; however, any edits to it will get removed if the file is opened in a newer version of Excel. Learn more: https://go.microsoft.com/fwlink/?linkid=870924
Comment:
	Entradas Externas (EEs)
São processos elementares que processam dados (ou
informações de controle) que entram pela fronteira da aplicação. O objetivo principal de uma EE é manter um ou mais ALIs ou alterar o comportamento do sistema.
</text>
  </threadedComment>
  <threadedComment ref="M14" personId="{DE987283-2837-29DB-0DEB-BC797D1CB21F}" id="{002D001C-0032-442E-963E-00A000ED00F1}" done="0">
    <text xml:space="preserve">======
ID#AAAB41pieWg
tc={7276b4f6-bdb7-418d-a3b9-2b4b9808335e}    (2026-04-03 21:43:32)
[Threaded comment]
 Your version of Excel allows you to read this threaded comment; however, any edits to it will get removed if the file is opened in a newer version of Excel. Learn more: https://go.microsoft.com/fwlink/?linkid=870924
Comment: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ext>
  </threadedComment>
  <threadedComment ref="G14" personId="{DE987283-2837-29DB-0DEB-BC797D1CB21F}" id="{006B00CD-00FC-4F30-93FC-00BE0028007F}" done="0">
    <text xml:space="preserve">======
ID#AAAB41nGtoI
tc={d4841029-6dfe-4c79-981d-95d4b6fa311c}    (2026-04-03 21:43:32)
[Threaded comment]
 Your version of Excel allows you to read this threaded comment; however, any edits to it will get removed if the file is opened in a newer version of Excel. Learn more: https://go.microsoft.com/fwlink/?linkid=870924
Comment: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ext>
  </threadedComment>
  <threadedComment ref="M15" personId="{DE987283-2837-29DB-0DEB-BC797D1CB21F}" id="{00DA00B4-0080-425B-BA6D-007C008E0051}" done="0">
    <text xml:space="preserve">======
ID#AAAB41nGtn8
tc={adbfb5fc-6695-4e08-8227-d408343c0481}    (2026-04-03 21:43:32)
[Threaded comment]
 Your version of Excel allows you to read this threaded comment; however, any edits to it will get removed if the file is opened in a newer version of Excel. Learn more: https://go.microsoft.com/fwlink/?linkid=870924
Comment: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ext>
  </threadedComment>
  <threadedComment ref="G15" personId="{DE987283-2837-29DB-0DEB-BC797D1CB21F}" id="{00CC0037-001D-47B9-B065-0014008E0016}" done="0">
    <text xml:space="preserve">======
ID#AAAB41zX9gc
tc={f127309a-2e49-4f79-bb6d-3e7e225a98ef}    (2026-04-03 21:43:32)
[Threaded comment]
 Your version of Excel allows you to read this threaded comment; however, any edits to it will get removed if the file is opened in a newer version of Excel. Learn more: https://go.microsoft.com/fwlink/?linkid=870924
Comment: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ext>
  </threadedComment>
  <threadedComment ref="M16" personId="{DE987283-2837-29DB-0DEB-BC797D1CB21F}" id="{007A006C-00F4-4A6B-9C57-003500160053}" done="0">
    <text xml:space="preserve">======
ID#AAAB41zX9gw
tc={3a34cfe0-90e0-40a6-9028-47c3167bc768}    (2026-04-03 21:43:32)
[Threaded comment]
 Your version of Excel allows you to read this threaded comment; however, any edits to it will get removed if the file is opened in a newer version of Excel. Learn more: https://go.microsoft.com/fwlink/?linkid=870924
Comment: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ext>
  </threadedComment>
  <threadedComment ref="M17" personId="{DE987283-2837-29DB-0DEB-BC797D1CB21F}" id="{007E00A0-006D-4723-AEDC-0080001C00E3}" done="0">
    <text xml:space="preserve">======
ID#AAAB2-oO_Jw
tc={553aa1c4-b3a8-4761-b310-dda0302a5069}    (2026-04-03 21:43:32)
[Threaded comment]
 Your version of Excel allows you to read this threaded comment; however, any edits to it will get removed if the file is opened in a newer version of Excel. Learn more: https://go.microsoft.com/fwlink/?linkid=870924
Comment: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ext>
  </threadedComment>
  <threadedComment ref="M18" personId="{DE987283-2837-29DB-0DEB-BC797D1CB21F}" id="{005900D3-00B3-4CA7-BD35-000B00190073}" done="0">
    <text xml:space="preserve">======
ID#AAAB41pieWY
tc={0d79031c-4fcc-458f-bbd4-17090e5d7590}    (2026-04-03 21:43:32)
[Threaded comment]
 Your version of Excel allows you to read this threaded comment; however, any edits to it will get removed if the file is opened in a newer version of Excel. Learn more: https://go.microsoft.com/fwlink/?linkid=870924
Comment: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ext>
  </threadedComment>
  <threadedComment ref="M19" personId="{DE987283-2837-29DB-0DEB-BC797D1CB21F}" id="{00EE003A-0033-4C55-ABC1-00E100890002}" done="0">
    <text xml:space="preserve">======
ID#AAAB41nGtn0
tc={960061f7-82ff-4fb3-911d-85cb1547653e}    (2026-04-03 21:43:32)
[Threaded comment]
 Your version of Excel allows you to read this threaded comment; however, any edits to it will get removed if the file is opened in a newer version of Excel. Learn more: https://go.microsoft.com/fwlink/?linkid=870924
Comment: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ext>
  </threadedComment>
  <threadedComment ref="M20" personId="{DE987283-2837-29DB-0DEB-BC797D1CB21F}" id="{000500BC-0021-4A99-A888-0081006C0067}" done="0">
    <text xml:space="preserve">======
ID#AAAB41nGtno
tc={0eff5f50-e852-4d05-9284-edcaeeb2dd3f}    (2026-04-03 21:43:32)
[Threaded comment]
 Your version of Excel allows you to read this threaded comment; however, any edits to it will get removed if the file is opened in a newer version of Excel. Learn more: https://go.microsoft.com/fwlink/?linkid=870924
Comment: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ext>
  </threadedComment>
  <threadedComment ref="M21" personId="{DE987283-2837-29DB-0DEB-BC797D1CB21F}" id="{00CA0076-00F3-4F79-B5B0-005B00C800CA}" done="0">
    <text xml:space="preserve">======
ID#AAAB41nGtok
tc={59ab4e03-b411-4462-a3ec-9b7d39eca127}    (2026-04-03 21:43:32)
[Threaded comment]
 Your version of Excel allows you to read this threaded comment; however, any edits to it will get removed if the file is opened in a newer version of Excel. Learn more: https://go.microsoft.com/fwlink/?linkid=870924
Comment: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ext>
  </threadedComment>
  <threadedComment ref="M22" personId="{DE987283-2837-29DB-0DEB-BC797D1CB21F}" id="{004C0037-00E4-470A-840A-005600250029}" done="0">
    <text xml:space="preserve">======
ID#AAAB41nGtoU
tc={0b8e5ec9-90d5-4bcf-9ab4-eb6c566eb24e}    (2026-04-03 21:43:32)
[Threaded comment]
 Your version of Excel allows you to read this threaded comment; however, any edits to it will get removed if the file is opened in a newer version of Excel. Learn more: https://go.microsoft.com/fwlink/?linkid=870924
Comment: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ext>
  </threadedComment>
  <threadedComment ref="A7" personId="{DE987283-2837-29DB-0DEB-BC797D1CB21F}" id="{00FE0004-0072-41F8-9D87-004C000F00D5}" done="0">
    <text xml:space="preserve">======
ID#AAAB41pieXM
tc={819842e6-5647-4f85-aed1-c85b2cc1b739}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ext>
  </threadedComment>
  <threadedComment ref="M7" personId="{DE987283-2837-29DB-0DEB-BC797D1CB21F}" id="{00380095-00E0-4602-9FBA-008C009800F3}" done="0">
    <text xml:space="preserve">======
ID#AAAB41pieXY
tc={ab41a7dd-7d2d-43ea-8c4b-11313f4668cb}    (2026-04-03 21:43:32)
[Threaded comment]
 Your version of Excel allows you to read this threaded comment; however, any edits to it will get removed if the file is opened in a newer version of Excel. Learn more: https://go.microsoft.com/fwlink/?linkid=870924
Comment: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ext>
  </threadedComment>
  <threadedComment ref="D7" personId="{DE987283-2837-29DB-0DEB-BC797D1CB21F}" id="{00B700D5-00B5-4E7B-8661-005700D300FC}" done="0">
    <text xml:space="preserve">======
ID#AAAB41nGtoc
tc={969f4144-aa6b-491a-9e6c-483f50fc3b48}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ext>
  </threadedComment>
  <threadedComment ref="G7" personId="{DE987283-2837-29DB-0DEB-BC797D1CB21F}" id="{00190066-003C-4CCA-85D6-0063005A003D}" done="0">
    <text xml:space="preserve">======
ID#AAAB41pieWo
tc={669d0c38-786b-4140-a032-b523989d928c}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ext>
  </threadedComment>
  <threadedComment ref="N8" personId="{DE987283-2837-29DB-0DEB-BC797D1CB21F}" id="{0062001C-0002-48EB-B59C-005C00CA0057}" done="0">
    <text xml:space="preserve">======
ID#AAAB2-oO_J8
tc={82efe7dd-0bf1-4393-ac28-d04f318861fc}    (2026-04-03 21:43:32)
[Threaded comment]
 Your version of Excel allows you to read this threaded comment; however, any edits to it will get removed if the file is opened in a newer version of Excel. Learn more: https://go.microsoft.com/fwlink/?linkid=870924
Comment:
	Grau de Influência
0 (nenhuma influência)
5 (forte influência)
</text>
  </threadedComment>
  <threadedComment ref="M9" personId="{DE987283-2837-29DB-0DEB-BC797D1CB21F}" id="{007A007D-005A-41EC-8AD8-005E004100C0}" done="0">
    <text xml:space="preserve">======
ID#AAAB41pieWc
tc={1a7d9b61-e74f-4f52-8fd3-1ab4d861a9a6}    (2026-04-03 21:43:32)
[Threaded comment]
 Your version of Excel allows you to read this threaded comment; however, any edits to it will get removed if the file is opened in a newer version of Excel. Learn more: https://go.microsoft.com/fwlink/?linkid=870924
Comment: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ext>
  </threadedComment>
  <threadedComment ref="G9" personId="{DE987283-2837-29DB-0DEB-BC797D1CB21F}" id="{00AD0048-00DC-4E71-A2D4-007C00E60040}" done="0">
    <text xml:space="preserve">======
ID#AAAB41nGtoY
tc={c79f0a36-e587-4f36-ae6a-52aac41436c1}    (2026-04-03 21:43:32)
[Threaded comment]
 Your version of Excel allows you to read this threaded comment; however, any edits to it will get removed if the file is opened in a newer version of Excel. Learn more: https://go.microsoft.com/fwlink/?linkid=870924
Comment:
	Arquivo Lógico Interno (ALI)
São arquivos/tabelas mantidas dentro da fronteira da aplicação, isto é, armazena dados mantidos através de um ou mais processos elementares da aplicação.
</text>
  </threadedComment>
  <threadedComment ref="M10" personId="{DE987283-2837-29DB-0DEB-BC797D1CB21F}" id="{002A00EA-00E2-4D30-9D80-003C00620075}" done="0">
    <text xml:space="preserve">======
ID#AAAB41pieXI
tc={e09d63f9-48b4-4647-af8a-252797f4371e}    (2026-04-03 21:43:32)
[Threaded comment]
 Your version of Excel allows you to read this threaded comment; however, any edits to it will get removed if the file is opened in a newer version of Excel. Learn more: https://go.microsoft.com/fwlink/?linkid=870924
Comment: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ext>
  </threadedComment>
  <threadedComment ref="G10" personId="{DE987283-2837-29DB-0DEB-BC797D1CB21F}" id="{0084000A-000A-4576-87E8-0019005F0050}" done="0">
    <text xml:space="preserve">======
ID#AAAB41nGtoM
tc={074ee134-b988-4808-ba12-98babec0bbc0}    (2026-04-03 21:43:32)
[Threaded comment]
 Your version of Excel allows you to read this threaded comment; however, any edits to it will get removed if the file is opened in a newer version of Excel. Learn more: https://go.microsoft.com/fwlink/?linkid=870924
Comment: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ext>
  </threadedComment>
</ThreadedComments>
</file>

<file path=xl/threadedComments/threadedComment6.xml><?xml version="1.0" encoding="utf-8"?>
<ThreadedComments xmlns="http://schemas.microsoft.com/office/spreadsheetml/2018/threadedcomments" xmlns:x="http://schemas.openxmlformats.org/spreadsheetml/2006/main">
  <threadedComment ref="A3" personId="{DE987283-2837-29DB-0DEB-BC797D1CB21F}" id="{003400FE-00B7-47A0-96C8-000000100096}" done="0">
    <text xml:space="preserve">======
ID#AAAB41zX9gk
tc={293284de-a8ab-4e41-8535-960d23d45965}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
</text>
  </threadedComment>
</ThreadedComments>
</file>

<file path=xl/worksheets/_rels/sheet1.xml.rels><?xml version="1.0" encoding="UTF-8" standalone="yes"?><Relationships xmlns="http://schemas.openxmlformats.org/package/2006/relationships"><Relationship  Id="rId1" Type="http://schemas.openxmlformats.org/officeDocument/2006/relationships/hyperlink" Target="mailto:mario.p@aluno.ifsp.edu.br" TargetMode="External"/><Relationship  Id="rId2" Type="http://schemas.openxmlformats.org/officeDocument/2006/relationships/hyperlink" Target="mailto:junior.camocardi@aluno.ifsp.edu.br" TargetMode="External"/><Relationship  Id="rId3" Type="http://schemas.openxmlformats.org/officeDocument/2006/relationships/hyperlink" Target="mailto:acioli.d@aluno.ifsp.edu.br" TargetMode="External"/><Relationship  Id="rId4" Type="http://schemas.microsoft.com/office/2017/10/relationships/threadedComment" Target="../threadedComments/threadedComment1.xml"/><Relationship  Id="rId5" Type="http://schemas.openxmlformats.org/officeDocument/2006/relationships/comments" Target="../comments1.xml"/><Relationship  Id="rId6"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microsoft.com/office/2017/10/relationships/threadedComment" Target="../threadedComments/threadedComment3.xml"/><Relationship  Id="rId2" Type="http://schemas.openxmlformats.org/officeDocument/2006/relationships/comments" Target="../comments3.xml"/><Relationship  Id="rId3" Type="http://schemas.openxmlformats.org/officeDocument/2006/relationships/vmlDrawing" Target="../drawings/vmlDrawing3.vml"/></Relationships>
</file>

<file path=xl/worksheets/_rels/sheet5.xml.rels><?xml version="1.0" encoding="UTF-8" standalone="yes"?><Relationships xmlns="http://schemas.openxmlformats.org/package/2006/relationships"><Relationship  Id="rId1" Type="http://schemas.microsoft.com/office/2017/10/relationships/threadedComment" Target="../threadedComments/threadedComment4.xm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6.xml.rels><?xml version="1.0" encoding="UTF-8" standalone="yes"?><Relationships xmlns="http://schemas.openxmlformats.org/package/2006/relationships"><Relationship  Id="rId1" Type="http://schemas.microsoft.com/office/2017/10/relationships/threadedComment" Target="../threadedComments/threadedComment5.xml"/><Relationship  Id="rId2" Type="http://schemas.openxmlformats.org/officeDocument/2006/relationships/comments" Target="../comments5.xml"/><Relationship  Id="rId3" Type="http://schemas.openxmlformats.org/officeDocument/2006/relationships/vmlDrawing" Target="../drawings/vmlDrawing5.vml"/></Relationships>
</file>

<file path=xl/worksheets/_rels/sheet7.xml.rels><?xml version="1.0" encoding="UTF-8" standalone="yes"?><Relationships xmlns="http://schemas.openxmlformats.org/package/2006/relationships"><Relationship  Id="rId1" Type="http://schemas.microsoft.com/office/2017/10/relationships/threadedComment" Target="../threadedComments/threadedComment6.xml"/><Relationship  Id="rId2" Type="http://schemas.openxmlformats.org/officeDocument/2006/relationships/comments" Target="../comments6.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2.630000000000001" defaultRowHeight="15" customHeight="1"/>
  <cols>
    <col customWidth="1" min="1" max="1" width="21.629999999999999"/>
    <col customWidth="1" min="2" max="2" width="44.75"/>
    <col customWidth="1" min="3" max="3" width="30.5"/>
    <col customWidth="1" min="4" max="6" width="8.1300000000000008"/>
    <col customWidth="1" min="7" max="23" width="8.6300000000000008"/>
  </cols>
  <sheetData>
    <row r="1" ht="14.25" customHeight="1">
      <c r="A1" s="1" t="s">
        <v>0</v>
      </c>
      <c r="B1" s="2"/>
      <c r="C1" s="3"/>
      <c r="D1" s="4"/>
      <c r="E1" s="4"/>
      <c r="F1" s="4"/>
      <c r="G1" s="4"/>
      <c r="H1" s="4"/>
      <c r="I1" s="4"/>
      <c r="J1" s="4"/>
      <c r="K1" s="4"/>
      <c r="L1" s="4"/>
      <c r="M1" s="4"/>
      <c r="N1" s="4"/>
      <c r="O1" s="4"/>
      <c r="P1" s="4"/>
      <c r="Q1" s="4"/>
      <c r="R1" s="4"/>
      <c r="S1" s="4"/>
      <c r="T1" s="4"/>
      <c r="U1" s="4"/>
      <c r="V1" s="4"/>
      <c r="W1" s="4"/>
      <c r="X1" s="4"/>
      <c r="Y1" s="4"/>
      <c r="Z1" s="4"/>
    </row>
    <row r="2" ht="14.25" customHeight="1">
      <c r="A2" s="5" t="s">
        <v>1</v>
      </c>
      <c r="B2" s="2"/>
      <c r="C2" s="3"/>
      <c r="D2" s="4"/>
      <c r="E2" s="4"/>
      <c r="F2" s="4"/>
      <c r="G2" s="4"/>
      <c r="H2" s="4"/>
      <c r="I2" s="4"/>
      <c r="J2" s="4"/>
      <c r="K2" s="4"/>
      <c r="L2" s="4"/>
      <c r="M2" s="4"/>
      <c r="N2" s="4"/>
      <c r="O2" s="4"/>
      <c r="P2" s="4"/>
      <c r="Q2" s="4"/>
      <c r="R2" s="4"/>
      <c r="S2" s="4"/>
      <c r="T2" s="4"/>
      <c r="U2" s="4"/>
      <c r="V2" s="4"/>
      <c r="W2" s="4"/>
      <c r="X2" s="4"/>
      <c r="Y2" s="4"/>
      <c r="Z2" s="4"/>
    </row>
    <row r="3" ht="14.25" customHeight="1">
      <c r="A3" s="6" t="s">
        <v>2</v>
      </c>
      <c r="B3" s="6" t="s">
        <v>3</v>
      </c>
      <c r="C3" s="6" t="s">
        <v>4</v>
      </c>
      <c r="D3" s="4"/>
      <c r="E3" s="4"/>
      <c r="F3" s="4"/>
      <c r="G3" s="4"/>
      <c r="H3" s="4"/>
      <c r="I3" s="4"/>
      <c r="J3" s="4"/>
      <c r="K3" s="4"/>
      <c r="L3" s="4"/>
      <c r="M3" s="4"/>
      <c r="N3" s="4"/>
      <c r="O3" s="4"/>
      <c r="P3" s="4"/>
      <c r="Q3" s="4"/>
      <c r="R3" s="4"/>
      <c r="S3" s="4"/>
      <c r="T3" s="4"/>
      <c r="U3" s="4"/>
      <c r="V3" s="4"/>
      <c r="W3" s="4"/>
      <c r="X3" s="4"/>
      <c r="Y3" s="4"/>
      <c r="Z3" s="4"/>
    </row>
    <row r="4" ht="14.25" customHeight="1">
      <c r="A4" s="7" t="s">
        <v>5</v>
      </c>
      <c r="B4" s="7" t="s">
        <v>6</v>
      </c>
      <c r="C4" s="8" t="s">
        <v>7</v>
      </c>
      <c r="D4" s="4"/>
      <c r="E4" s="4"/>
      <c r="F4" s="4"/>
      <c r="G4" s="4"/>
      <c r="H4" s="4"/>
      <c r="I4" s="4"/>
      <c r="J4" s="4"/>
      <c r="K4" s="4"/>
      <c r="L4" s="4"/>
      <c r="M4" s="4"/>
      <c r="N4" s="4"/>
      <c r="O4" s="4"/>
      <c r="P4" s="4"/>
      <c r="Q4" s="4"/>
      <c r="R4" s="4"/>
      <c r="S4" s="4"/>
      <c r="T4" s="4"/>
      <c r="U4" s="4"/>
      <c r="V4" s="4"/>
      <c r="W4" s="4"/>
      <c r="X4" s="4"/>
      <c r="Y4" s="4"/>
      <c r="Z4" s="4"/>
    </row>
    <row r="5" ht="14.25" customHeight="1">
      <c r="A5" s="7" t="s">
        <v>8</v>
      </c>
      <c r="B5" s="7" t="s">
        <v>9</v>
      </c>
      <c r="C5" s="8" t="s">
        <v>10</v>
      </c>
      <c r="D5" s="4"/>
      <c r="E5" s="4"/>
      <c r="F5" s="4"/>
      <c r="G5" s="4"/>
      <c r="H5" s="4"/>
      <c r="I5" s="4"/>
      <c r="J5" s="4"/>
      <c r="K5" s="4"/>
      <c r="L5" s="4"/>
      <c r="M5" s="4"/>
      <c r="N5" s="4"/>
      <c r="O5" s="4"/>
      <c r="P5" s="4"/>
      <c r="Q5" s="4"/>
      <c r="R5" s="4"/>
      <c r="S5" s="4"/>
      <c r="T5" s="4"/>
      <c r="U5" s="4"/>
      <c r="V5" s="4"/>
      <c r="W5" s="4"/>
      <c r="X5" s="4"/>
      <c r="Y5" s="4"/>
      <c r="Z5" s="4"/>
    </row>
    <row r="6" ht="14.25" customHeight="1">
      <c r="A6" s="7" t="s">
        <v>11</v>
      </c>
      <c r="B6" s="7" t="s">
        <v>12</v>
      </c>
      <c r="C6" s="9" t="s">
        <v>13</v>
      </c>
      <c r="D6" s="4"/>
      <c r="E6" s="4"/>
      <c r="F6" s="4"/>
      <c r="G6" s="4"/>
      <c r="H6" s="4"/>
      <c r="I6" s="4"/>
      <c r="J6" s="4"/>
      <c r="K6" s="4"/>
      <c r="L6" s="4"/>
      <c r="M6" s="4"/>
      <c r="N6" s="4"/>
      <c r="O6" s="4"/>
      <c r="P6" s="4"/>
      <c r="Q6" s="4"/>
      <c r="R6" s="4"/>
      <c r="S6" s="4"/>
      <c r="T6" s="4"/>
      <c r="U6" s="4"/>
      <c r="V6" s="4"/>
      <c r="W6" s="4"/>
      <c r="X6" s="4"/>
      <c r="Y6" s="4"/>
      <c r="Z6" s="4"/>
    </row>
    <row r="7" ht="14.25" customHeight="1">
      <c r="A7" s="7" t="s">
        <v>11</v>
      </c>
      <c r="B7" s="7" t="s">
        <v>14</v>
      </c>
      <c r="C7" s="9" t="s">
        <v>15</v>
      </c>
      <c r="D7" s="4"/>
      <c r="E7" s="4"/>
      <c r="F7" s="4"/>
      <c r="G7" s="4"/>
      <c r="H7" s="4"/>
      <c r="I7" s="4"/>
      <c r="J7" s="4"/>
      <c r="K7" s="4"/>
      <c r="L7" s="4"/>
      <c r="M7" s="4"/>
      <c r="N7" s="4"/>
      <c r="O7" s="4"/>
      <c r="P7" s="4"/>
      <c r="Q7" s="4"/>
      <c r="R7" s="4"/>
      <c r="S7" s="4"/>
      <c r="T7" s="4"/>
      <c r="U7" s="4"/>
      <c r="V7" s="4"/>
      <c r="W7" s="4"/>
      <c r="X7" s="4"/>
      <c r="Y7" s="4"/>
      <c r="Z7" s="4"/>
    </row>
    <row r="8" ht="14.25" customHeight="1">
      <c r="A8" s="7" t="s">
        <v>11</v>
      </c>
      <c r="B8" s="7" t="s">
        <v>6</v>
      </c>
      <c r="C8" s="8" t="s">
        <v>7</v>
      </c>
      <c r="D8" s="4"/>
      <c r="E8" s="4"/>
      <c r="F8" s="4"/>
      <c r="G8" s="4"/>
      <c r="H8" s="4"/>
      <c r="I8" s="4"/>
      <c r="J8" s="4"/>
      <c r="K8" s="4"/>
      <c r="L8" s="4"/>
      <c r="M8" s="4"/>
      <c r="N8" s="4"/>
      <c r="O8" s="4"/>
      <c r="P8" s="4"/>
      <c r="Q8" s="4"/>
      <c r="R8" s="4"/>
      <c r="S8" s="4"/>
      <c r="T8" s="4"/>
      <c r="U8" s="4"/>
      <c r="V8" s="4"/>
      <c r="W8" s="4"/>
      <c r="X8" s="4"/>
      <c r="Y8" s="4"/>
      <c r="Z8" s="4"/>
    </row>
    <row r="9" ht="14.25" customHeight="1">
      <c r="A9" s="7" t="s">
        <v>11</v>
      </c>
      <c r="B9" s="7" t="s">
        <v>9</v>
      </c>
      <c r="C9" s="8" t="s">
        <v>10</v>
      </c>
      <c r="D9" s="4"/>
      <c r="E9" s="4"/>
      <c r="F9" s="4"/>
      <c r="G9" s="4"/>
      <c r="H9" s="4"/>
      <c r="I9" s="4"/>
      <c r="J9" s="4"/>
      <c r="K9" s="4"/>
      <c r="L9" s="4"/>
      <c r="M9" s="4"/>
      <c r="N9" s="4"/>
      <c r="O9" s="4"/>
      <c r="P9" s="4"/>
      <c r="Q9" s="4"/>
      <c r="R9" s="4"/>
      <c r="S9" s="4"/>
      <c r="T9" s="4"/>
      <c r="U9" s="4"/>
      <c r="V9" s="4"/>
      <c r="W9" s="4"/>
      <c r="X9" s="4"/>
      <c r="Y9" s="4"/>
      <c r="Z9" s="4"/>
    </row>
    <row r="10" ht="14.25" customHeight="1">
      <c r="A10" s="7"/>
      <c r="B10" s="7"/>
      <c r="C10" s="7"/>
      <c r="D10" s="4"/>
      <c r="E10" s="4"/>
      <c r="F10" s="4"/>
      <c r="G10" s="4"/>
      <c r="H10" s="4"/>
      <c r="I10" s="4"/>
      <c r="J10" s="4"/>
      <c r="K10" s="4"/>
      <c r="L10" s="4"/>
      <c r="M10" s="4"/>
      <c r="N10" s="4"/>
      <c r="O10" s="4"/>
      <c r="P10" s="4"/>
      <c r="Q10" s="4"/>
      <c r="R10" s="4"/>
      <c r="S10" s="4"/>
      <c r="T10" s="4"/>
      <c r="U10" s="4"/>
      <c r="V10" s="4"/>
      <c r="W10" s="4"/>
      <c r="X10" s="4"/>
      <c r="Y10" s="4"/>
      <c r="Z10" s="4"/>
    </row>
    <row r="11" ht="14.25" customHeight="1">
      <c r="A11" s="7"/>
      <c r="B11" s="7"/>
      <c r="C11" s="7"/>
      <c r="D11" s="4"/>
      <c r="E11" s="4"/>
      <c r="F11" s="4"/>
      <c r="G11" s="4"/>
      <c r="H11" s="4"/>
      <c r="I11" s="4"/>
      <c r="J11" s="4"/>
      <c r="K11" s="4"/>
      <c r="L11" s="4"/>
      <c r="M11" s="4"/>
      <c r="N11" s="4"/>
      <c r="O11" s="4"/>
      <c r="P11" s="4"/>
      <c r="Q11" s="4"/>
      <c r="R11" s="4"/>
      <c r="S11" s="4"/>
      <c r="T11" s="4"/>
      <c r="U11" s="4"/>
      <c r="V11" s="4"/>
      <c r="W11" s="4"/>
      <c r="X11" s="4"/>
      <c r="Y11" s="4"/>
      <c r="Z11" s="4"/>
    </row>
    <row r="12" ht="14.25" customHeight="1">
      <c r="A12" s="7"/>
      <c r="B12" s="7"/>
      <c r="C12" s="7"/>
      <c r="D12" s="4"/>
      <c r="E12" s="4"/>
      <c r="F12" s="4"/>
      <c r="G12" s="4"/>
      <c r="H12" s="4"/>
      <c r="I12" s="4"/>
      <c r="J12" s="4"/>
      <c r="K12" s="4"/>
      <c r="L12" s="4"/>
      <c r="M12" s="4"/>
      <c r="N12" s="4"/>
      <c r="O12" s="4"/>
      <c r="P12" s="4"/>
      <c r="Q12" s="4"/>
      <c r="R12" s="4"/>
      <c r="S12" s="4"/>
      <c r="T12" s="4"/>
      <c r="U12" s="4"/>
      <c r="V12" s="4"/>
      <c r="W12" s="4"/>
      <c r="X12" s="4"/>
      <c r="Y12" s="4"/>
      <c r="Z12" s="4"/>
    </row>
    <row r="13" ht="14.25" customHeight="1">
      <c r="A13" s="7"/>
      <c r="B13" s="7"/>
      <c r="C13" s="7"/>
      <c r="D13" s="4"/>
      <c r="E13" s="4"/>
      <c r="F13" s="4"/>
      <c r="G13" s="4"/>
      <c r="H13" s="4"/>
      <c r="I13" s="4"/>
      <c r="J13" s="4"/>
      <c r="K13" s="4"/>
      <c r="L13" s="4"/>
      <c r="M13" s="4"/>
      <c r="N13" s="4"/>
      <c r="O13" s="4"/>
      <c r="P13" s="4"/>
      <c r="Q13" s="4"/>
      <c r="R13" s="4"/>
      <c r="S13" s="4"/>
      <c r="T13" s="4"/>
      <c r="U13" s="4"/>
      <c r="V13" s="4"/>
      <c r="W13" s="4"/>
      <c r="X13" s="4"/>
      <c r="Y13" s="4"/>
      <c r="Z13" s="4"/>
    </row>
    <row r="14" ht="14.25" customHeight="1">
      <c r="A14" s="7"/>
      <c r="B14" s="7"/>
      <c r="C14" s="7"/>
      <c r="D14" s="4"/>
      <c r="E14" s="4"/>
      <c r="F14" s="4"/>
      <c r="G14" s="4"/>
      <c r="H14" s="4"/>
      <c r="I14" s="4"/>
      <c r="J14" s="4"/>
      <c r="K14" s="4"/>
      <c r="L14" s="4"/>
      <c r="M14" s="4"/>
      <c r="N14" s="4"/>
      <c r="O14" s="4"/>
      <c r="P14" s="4"/>
      <c r="Q14" s="4"/>
      <c r="R14" s="4"/>
      <c r="S14" s="4"/>
      <c r="T14" s="4"/>
      <c r="U14" s="4"/>
      <c r="V14" s="4"/>
      <c r="W14" s="4"/>
      <c r="X14" s="4"/>
      <c r="Y14" s="4"/>
      <c r="Z14" s="4"/>
    </row>
    <row r="15" ht="14.25" customHeight="1">
      <c r="A15" s="7"/>
      <c r="B15" s="7"/>
      <c r="C15" s="7"/>
      <c r="D15" s="4"/>
      <c r="E15" s="4"/>
      <c r="F15" s="4"/>
      <c r="G15" s="4"/>
      <c r="H15" s="4"/>
      <c r="I15" s="4"/>
      <c r="J15" s="4"/>
      <c r="K15" s="4"/>
      <c r="L15" s="4"/>
      <c r="M15" s="4"/>
      <c r="N15" s="4"/>
      <c r="O15" s="4"/>
      <c r="P15" s="4"/>
      <c r="Q15" s="4"/>
      <c r="R15" s="4"/>
      <c r="S15" s="4"/>
      <c r="T15" s="4"/>
      <c r="U15" s="4"/>
      <c r="V15" s="4"/>
      <c r="W15" s="4"/>
      <c r="X15" s="4"/>
      <c r="Y15" s="4"/>
      <c r="Z15" s="4"/>
    </row>
    <row r="16" ht="14.25" customHeight="1">
      <c r="A16" s="7"/>
      <c r="B16" s="7"/>
      <c r="C16" s="7"/>
      <c r="D16" s="4"/>
      <c r="E16" s="4"/>
      <c r="F16" s="4"/>
      <c r="G16" s="4"/>
      <c r="H16" s="4"/>
      <c r="I16" s="4"/>
      <c r="J16" s="4"/>
      <c r="K16" s="4"/>
      <c r="L16" s="4"/>
      <c r="M16" s="4"/>
      <c r="N16" s="4"/>
      <c r="O16" s="4"/>
      <c r="P16" s="4"/>
      <c r="Q16" s="4"/>
      <c r="R16" s="4"/>
      <c r="S16" s="4"/>
      <c r="T16" s="4"/>
      <c r="U16" s="4"/>
      <c r="V16" s="4"/>
      <c r="W16" s="4"/>
      <c r="X16" s="4"/>
      <c r="Y16" s="4"/>
      <c r="Z16" s="4"/>
    </row>
    <row r="17" ht="14.25" customHeight="1">
      <c r="A17" s="7"/>
      <c r="B17" s="7"/>
      <c r="C17" s="7"/>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C$9"/>
  <mergeCells count="2">
    <mergeCell ref="A1:C1"/>
    <mergeCell ref="A2:C2"/>
  </mergeCells>
  <hyperlinks>
    <hyperlink r:id="rId1" ref="C4"/>
    <hyperlink r:id="rId2" ref="C5"/>
    <hyperlink r:id="rId3" ref="C6"/>
    <hyperlink r:id="rId1" ref="C7"/>
    <hyperlink r:id="rId1" ref="C8"/>
    <hyperlink r:id="rId2" ref="C9"/>
  </hyperlinks>
  <printOptions headings="0" gridLines="0"/>
  <pageMargins left="0.51181102362204689" right="0.51181102362204689" top="1.181102362204725" bottom="1.181102362204725" header="0" footer="0"/>
  <pageSetup paperSize="9" scale="100" fitToWidth="1" fitToHeight="1" pageOrder="downThenOver" orientation="portrait" usePrinterDefaults="1" blackAndWhite="0" draft="0" cellComments="none" useFirstPageNumber="0" errors="displayed" horizontalDpi="600" verticalDpi="600" copies="1"/>
  <headerFooter/>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2" zoomScale="100" workbookViewId="0">
      <selection activeCell="A1" activeCellId="0" sqref="A1"/>
    </sheetView>
  </sheetViews>
  <sheetFormatPr baseColWidth="8" defaultColWidth="12.630000000000001" defaultRowHeight="15" customHeight="1"/>
  <cols>
    <col customWidth="1" min="1" max="1" width="10.25"/>
    <col customWidth="1" min="2" max="2" width="11.630000000000001"/>
    <col customWidth="1" min="3" max="3" width="68.129999999999995"/>
    <col customWidth="1" min="4" max="4" width="8.75"/>
    <col customWidth="1" min="5" max="5" width="1.6299999999999999"/>
    <col customWidth="1" min="6" max="6" width="4.25"/>
    <col customWidth="1" min="7" max="7" width="24.75"/>
    <col customWidth="1" min="8" max="9" width="8.5"/>
    <col customWidth="1" min="10" max="10" width="10.75"/>
    <col customWidth="1" min="11" max="11" width="11.880000000000001"/>
    <col customWidth="1" min="12" max="12" width="8.5"/>
    <col customWidth="1" min="13" max="26" width="8.6300000000000008"/>
  </cols>
  <sheetData>
    <row r="1" ht="12" customHeight="1">
      <c r="A1" s="10" t="s">
        <v>16</v>
      </c>
      <c r="E1" s="11"/>
      <c r="F1" s="12" t="s">
        <v>17</v>
      </c>
      <c r="G1" s="13"/>
      <c r="H1" s="13"/>
      <c r="I1" s="13"/>
      <c r="J1" s="13"/>
      <c r="K1" s="13"/>
      <c r="L1" s="13"/>
      <c r="M1" s="11"/>
      <c r="N1" s="11"/>
      <c r="O1" s="11"/>
      <c r="P1" s="11"/>
      <c r="Q1" s="11"/>
      <c r="R1" s="11"/>
      <c r="S1" s="11"/>
      <c r="T1" s="11"/>
      <c r="U1" s="11"/>
      <c r="V1" s="11"/>
      <c r="W1" s="11"/>
      <c r="X1" s="11"/>
      <c r="Y1" s="11"/>
      <c r="Z1" s="11"/>
    </row>
    <row r="2" ht="42" customHeight="1">
      <c r="A2" s="14" t="s">
        <v>18</v>
      </c>
      <c r="B2" s="13"/>
      <c r="C2" s="13"/>
      <c r="D2" s="13"/>
      <c r="E2" s="11"/>
      <c r="F2" s="15" t="s">
        <v>19</v>
      </c>
      <c r="G2" s="2"/>
      <c r="H2" s="2"/>
      <c r="I2" s="2"/>
      <c r="J2" s="2"/>
      <c r="K2" s="2"/>
      <c r="L2" s="2"/>
      <c r="M2" s="11"/>
      <c r="N2" s="11"/>
      <c r="O2" s="11"/>
      <c r="P2" s="11"/>
      <c r="Q2" s="11"/>
      <c r="R2" s="11"/>
      <c r="S2" s="11"/>
      <c r="T2" s="11"/>
      <c r="U2" s="11"/>
      <c r="V2" s="11"/>
      <c r="W2" s="11"/>
      <c r="X2" s="11"/>
      <c r="Y2" s="11"/>
      <c r="Z2" s="11"/>
    </row>
    <row r="3" ht="24" customHeight="1">
      <c r="A3" s="16" t="s">
        <v>20</v>
      </c>
      <c r="B3" s="16" t="s">
        <v>21</v>
      </c>
      <c r="C3" s="16" t="s">
        <v>22</v>
      </c>
      <c r="D3" s="16" t="s">
        <v>23</v>
      </c>
      <c r="E3" s="11"/>
      <c r="F3" s="16" t="s">
        <v>20</v>
      </c>
      <c r="G3" s="17" t="s">
        <v>24</v>
      </c>
      <c r="H3" s="16" t="s">
        <v>17</v>
      </c>
      <c r="I3" s="2"/>
      <c r="J3" s="2"/>
      <c r="K3" s="2"/>
      <c r="L3" s="3"/>
      <c r="M3" s="11"/>
      <c r="N3" s="11"/>
      <c r="O3" s="11"/>
      <c r="P3" s="11"/>
      <c r="Q3" s="11"/>
      <c r="R3" s="11"/>
      <c r="S3" s="11"/>
      <c r="T3" s="11"/>
      <c r="U3" s="11"/>
      <c r="V3" s="11"/>
      <c r="W3" s="11"/>
      <c r="X3" s="11"/>
      <c r="Y3" s="11"/>
      <c r="Z3" s="11"/>
    </row>
    <row r="4" ht="24" customHeight="1">
      <c r="A4" s="18" t="s">
        <v>25</v>
      </c>
      <c r="B4" s="2"/>
      <c r="C4" s="3"/>
      <c r="D4" s="19" t="s">
        <v>26</v>
      </c>
      <c r="E4" s="11"/>
      <c r="F4" s="20" t="s">
        <v>27</v>
      </c>
      <c r="G4" s="20" t="s">
        <v>28</v>
      </c>
      <c r="H4" s="19" t="s">
        <v>29</v>
      </c>
      <c r="I4" s="19" t="s">
        <v>30</v>
      </c>
      <c r="J4" s="19" t="s">
        <v>31</v>
      </c>
      <c r="K4" s="18" t="s">
        <v>32</v>
      </c>
      <c r="L4" s="19" t="s">
        <v>33</v>
      </c>
      <c r="M4" s="11"/>
      <c r="N4" s="11"/>
      <c r="O4" s="11"/>
      <c r="P4" s="11"/>
      <c r="Q4" s="11"/>
      <c r="R4" s="11"/>
      <c r="S4" s="11"/>
      <c r="T4" s="11"/>
      <c r="U4" s="11"/>
      <c r="V4" s="11"/>
      <c r="W4" s="11"/>
      <c r="X4" s="11"/>
      <c r="Y4" s="11"/>
      <c r="Z4" s="11"/>
    </row>
    <row r="5" ht="13.5" customHeight="1">
      <c r="A5" s="21">
        <v>1</v>
      </c>
      <c r="B5" s="22" t="s">
        <v>25</v>
      </c>
      <c r="C5" s="23" t="s">
        <v>34</v>
      </c>
      <c r="D5" s="24">
        <v>4</v>
      </c>
      <c r="E5" s="11"/>
      <c r="F5" s="25">
        <v>1</v>
      </c>
      <c r="G5" s="23" t="s">
        <v>35</v>
      </c>
      <c r="H5" s="26">
        <v>10</v>
      </c>
      <c r="I5" s="26">
        <v>5</v>
      </c>
      <c r="J5" s="26">
        <v>7</v>
      </c>
      <c r="K5" s="26">
        <v>7</v>
      </c>
      <c r="L5" s="27">
        <f t="shared" ref="L5:L9" si="0">SUM(H5:K5)</f>
        <v>29</v>
      </c>
      <c r="M5" s="11"/>
      <c r="N5" s="11"/>
      <c r="O5" s="11"/>
      <c r="P5" s="11"/>
      <c r="Q5" s="11"/>
      <c r="R5" s="11"/>
      <c r="S5" s="11"/>
      <c r="T5" s="11"/>
      <c r="U5" s="11"/>
      <c r="V5" s="11"/>
      <c r="W5" s="11"/>
      <c r="X5" s="11"/>
      <c r="Y5" s="11"/>
      <c r="Z5" s="11"/>
    </row>
    <row r="6" ht="13.5" customHeight="1">
      <c r="A6" s="21">
        <v>2</v>
      </c>
      <c r="B6" s="22" t="s">
        <v>25</v>
      </c>
      <c r="C6" s="23" t="s">
        <v>36</v>
      </c>
      <c r="D6" s="24">
        <v>2</v>
      </c>
      <c r="E6" s="11"/>
      <c r="F6" s="25">
        <v>2</v>
      </c>
      <c r="G6" s="23" t="s">
        <v>37</v>
      </c>
      <c r="H6" s="26">
        <v>9</v>
      </c>
      <c r="I6" s="26">
        <v>2</v>
      </c>
      <c r="J6" s="26">
        <v>10</v>
      </c>
      <c r="K6" s="26">
        <v>3</v>
      </c>
      <c r="L6" s="27">
        <f t="shared" si="0"/>
        <v>24</v>
      </c>
      <c r="M6" s="11"/>
      <c r="N6" s="11"/>
      <c r="O6" s="11"/>
      <c r="P6" s="11"/>
      <c r="Q6" s="11"/>
      <c r="R6" s="11"/>
      <c r="S6" s="11"/>
      <c r="T6" s="11"/>
      <c r="U6" s="11"/>
      <c r="V6" s="11"/>
      <c r="W6" s="11"/>
      <c r="X6" s="11"/>
      <c r="Y6" s="11"/>
      <c r="Z6" s="11"/>
    </row>
    <row r="7" ht="13.5" customHeight="1">
      <c r="A7" s="21">
        <v>3</v>
      </c>
      <c r="B7" s="22" t="s">
        <v>25</v>
      </c>
      <c r="C7" s="23" t="s">
        <v>38</v>
      </c>
      <c r="D7" s="24">
        <v>2</v>
      </c>
      <c r="E7" s="11"/>
      <c r="F7" s="25">
        <v>3</v>
      </c>
      <c r="G7" s="23" t="s">
        <v>39</v>
      </c>
      <c r="H7" s="26">
        <v>8</v>
      </c>
      <c r="I7" s="26">
        <v>4</v>
      </c>
      <c r="J7" s="26">
        <v>10</v>
      </c>
      <c r="K7" s="26">
        <v>3</v>
      </c>
      <c r="L7" s="27">
        <f t="shared" si="0"/>
        <v>25</v>
      </c>
      <c r="M7" s="11"/>
      <c r="N7" s="11"/>
      <c r="O7" s="11"/>
      <c r="P7" s="11"/>
      <c r="Q7" s="11"/>
      <c r="R7" s="11"/>
      <c r="S7" s="11"/>
      <c r="T7" s="11"/>
      <c r="U7" s="11"/>
      <c r="V7" s="11"/>
      <c r="W7" s="11"/>
      <c r="X7" s="11"/>
      <c r="Y7" s="11"/>
      <c r="Z7" s="11"/>
    </row>
    <row r="8" ht="13.5" customHeight="1">
      <c r="A8" s="21">
        <v>4</v>
      </c>
      <c r="B8" s="22" t="s">
        <v>25</v>
      </c>
      <c r="C8" s="23" t="s">
        <v>40</v>
      </c>
      <c r="D8" s="24">
        <v>2</v>
      </c>
      <c r="E8" s="11"/>
      <c r="F8" s="25">
        <v>4</v>
      </c>
      <c r="G8" s="23" t="s">
        <v>41</v>
      </c>
      <c r="H8" s="26">
        <v>9</v>
      </c>
      <c r="I8" s="26">
        <v>2</v>
      </c>
      <c r="J8" s="26">
        <v>10</v>
      </c>
      <c r="K8" s="26">
        <v>6</v>
      </c>
      <c r="L8" s="27">
        <f t="shared" si="0"/>
        <v>27</v>
      </c>
      <c r="M8" s="11"/>
      <c r="N8" s="11"/>
      <c r="O8" s="11"/>
      <c r="P8" s="11"/>
      <c r="Q8" s="11"/>
      <c r="R8" s="11"/>
      <c r="S8" s="11"/>
      <c r="T8" s="11"/>
      <c r="U8" s="11"/>
      <c r="V8" s="11"/>
      <c r="W8" s="11"/>
      <c r="X8" s="11"/>
      <c r="Y8" s="11"/>
      <c r="Z8" s="11"/>
    </row>
    <row r="9" ht="13.5" customHeight="1">
      <c r="A9" s="21">
        <v>5</v>
      </c>
      <c r="B9" s="22" t="s">
        <v>25</v>
      </c>
      <c r="C9" s="23" t="s">
        <v>42</v>
      </c>
      <c r="D9" s="24">
        <v>1</v>
      </c>
      <c r="E9" s="11"/>
      <c r="F9" s="28">
        <v>5</v>
      </c>
      <c r="G9" s="23" t="s">
        <v>43</v>
      </c>
      <c r="H9" s="26">
        <v>8</v>
      </c>
      <c r="I9" s="26">
        <v>2</v>
      </c>
      <c r="J9" s="26">
        <v>10</v>
      </c>
      <c r="K9" s="26">
        <v>3</v>
      </c>
      <c r="L9" s="27">
        <f t="shared" si="0"/>
        <v>23</v>
      </c>
      <c r="M9" s="11"/>
      <c r="N9" s="11"/>
      <c r="O9" s="11"/>
      <c r="P9" s="11"/>
      <c r="Q9" s="11"/>
      <c r="R9" s="11"/>
      <c r="S9" s="11"/>
      <c r="T9" s="11"/>
      <c r="U9" s="11"/>
      <c r="V9" s="11"/>
      <c r="W9" s="11"/>
      <c r="X9" s="11"/>
      <c r="Y9" s="11"/>
      <c r="Z9" s="11"/>
    </row>
    <row r="10" ht="13.5" customHeight="1">
      <c r="A10" s="21">
        <v>6</v>
      </c>
      <c r="B10" s="22" t="s">
        <v>25</v>
      </c>
      <c r="C10" s="23" t="s">
        <v>44</v>
      </c>
      <c r="D10" s="24">
        <v>1</v>
      </c>
      <c r="E10" s="11"/>
      <c r="F10" s="25">
        <v>6</v>
      </c>
      <c r="G10" s="23" t="s">
        <v>45</v>
      </c>
      <c r="H10" s="26">
        <v>4</v>
      </c>
      <c r="I10" s="26">
        <v>5</v>
      </c>
      <c r="J10" s="26">
        <v>8</v>
      </c>
      <c r="K10" s="26">
        <v>6</v>
      </c>
      <c r="L10" s="27">
        <f t="shared" ref="L10:L18" si="1">SUM(H10:K10)</f>
        <v>23</v>
      </c>
      <c r="M10" s="11"/>
      <c r="N10" s="11"/>
      <c r="O10" s="11"/>
      <c r="P10" s="11"/>
      <c r="Q10" s="11"/>
      <c r="R10" s="11"/>
      <c r="S10" s="11"/>
      <c r="T10" s="11"/>
      <c r="U10" s="11"/>
      <c r="V10" s="11"/>
      <c r="W10" s="11"/>
      <c r="X10" s="11"/>
      <c r="Y10" s="11"/>
      <c r="Z10" s="11"/>
    </row>
    <row r="11" ht="15" customHeight="1">
      <c r="A11" s="18" t="s">
        <v>46</v>
      </c>
      <c r="B11" s="2"/>
      <c r="C11" s="3"/>
      <c r="D11" s="19">
        <f>SUM(D5:D10)</f>
        <v>12</v>
      </c>
      <c r="E11" s="11"/>
      <c r="F11" s="28">
        <v>7</v>
      </c>
      <c r="G11" s="23" t="s">
        <v>47</v>
      </c>
      <c r="H11" s="26">
        <v>5</v>
      </c>
      <c r="I11" s="26">
        <v>2</v>
      </c>
      <c r="J11" s="26">
        <v>5</v>
      </c>
      <c r="K11" s="26">
        <v>3</v>
      </c>
      <c r="L11" s="27">
        <f t="shared" si="1"/>
        <v>15</v>
      </c>
      <c r="M11" s="11"/>
      <c r="N11" s="11"/>
      <c r="O11" s="11"/>
      <c r="P11" s="11"/>
      <c r="Q11" s="11"/>
      <c r="R11" s="11"/>
      <c r="S11" s="11"/>
      <c r="T11" s="11"/>
      <c r="U11" s="11"/>
      <c r="V11" s="11"/>
      <c r="W11" s="11"/>
      <c r="X11" s="11"/>
      <c r="Y11" s="11"/>
      <c r="Z11" s="11"/>
    </row>
    <row r="12" ht="13.5" customHeight="1">
      <c r="A12" s="21">
        <v>7</v>
      </c>
      <c r="B12" s="22" t="s">
        <v>46</v>
      </c>
      <c r="C12" s="23" t="s">
        <v>48</v>
      </c>
      <c r="D12" s="24">
        <v>5</v>
      </c>
      <c r="E12" s="11"/>
      <c r="F12" s="28">
        <v>8</v>
      </c>
      <c r="G12" s="23" t="s">
        <v>49</v>
      </c>
      <c r="H12" s="26">
        <v>3</v>
      </c>
      <c r="I12" s="26">
        <v>4</v>
      </c>
      <c r="J12" s="26">
        <v>5</v>
      </c>
      <c r="K12" s="26">
        <v>4</v>
      </c>
      <c r="L12" s="27">
        <f t="shared" si="1"/>
        <v>16</v>
      </c>
      <c r="M12" s="11"/>
      <c r="N12" s="11"/>
      <c r="O12" s="11"/>
      <c r="P12" s="11"/>
      <c r="Q12" s="11"/>
      <c r="R12" s="11"/>
      <c r="S12" s="11"/>
      <c r="T12" s="11"/>
      <c r="U12" s="11"/>
      <c r="V12" s="11"/>
      <c r="W12" s="11"/>
      <c r="X12" s="11"/>
      <c r="Y12" s="11"/>
      <c r="Z12" s="11"/>
    </row>
    <row r="13" ht="13.5" customHeight="1">
      <c r="A13" s="21">
        <v>8</v>
      </c>
      <c r="B13" s="22" t="s">
        <v>46</v>
      </c>
      <c r="C13" s="23" t="s">
        <v>50</v>
      </c>
      <c r="D13" s="24">
        <v>5</v>
      </c>
      <c r="E13" s="11"/>
      <c r="F13" s="28">
        <v>9</v>
      </c>
      <c r="G13" s="23" t="s">
        <v>51</v>
      </c>
      <c r="H13" s="26">
        <v>4</v>
      </c>
      <c r="I13" s="26">
        <v>2</v>
      </c>
      <c r="J13" s="26">
        <v>3</v>
      </c>
      <c r="K13" s="26">
        <v>3</v>
      </c>
      <c r="L13" s="27">
        <f t="shared" si="1"/>
        <v>12</v>
      </c>
      <c r="M13" s="11"/>
      <c r="N13" s="11"/>
      <c r="O13" s="11"/>
      <c r="P13" s="11"/>
      <c r="Q13" s="11"/>
      <c r="R13" s="11"/>
      <c r="S13" s="11"/>
      <c r="T13" s="11"/>
      <c r="U13" s="11"/>
      <c r="V13" s="11"/>
      <c r="W13" s="11"/>
      <c r="X13" s="11"/>
      <c r="Y13" s="11"/>
      <c r="Z13" s="11"/>
    </row>
    <row r="14" ht="13.5" customHeight="1">
      <c r="A14" s="21">
        <v>9</v>
      </c>
      <c r="B14" s="22" t="s">
        <v>46</v>
      </c>
      <c r="C14" s="29" t="s">
        <v>52</v>
      </c>
      <c r="D14" s="24">
        <v>4</v>
      </c>
      <c r="E14" s="11"/>
      <c r="F14" s="28"/>
      <c r="G14" s="23"/>
      <c r="H14" s="26"/>
      <c r="I14" s="26"/>
      <c r="J14" s="26"/>
      <c r="K14" s="26"/>
      <c r="L14" s="27">
        <f t="shared" si="1"/>
        <v>0</v>
      </c>
      <c r="M14" s="11"/>
      <c r="N14" s="11"/>
      <c r="O14" s="11"/>
      <c r="P14" s="11"/>
      <c r="Q14" s="11"/>
      <c r="R14" s="11"/>
      <c r="S14" s="11"/>
      <c r="T14" s="11"/>
      <c r="U14" s="11"/>
      <c r="V14" s="11"/>
      <c r="W14" s="11"/>
      <c r="X14" s="11"/>
      <c r="Y14" s="11"/>
      <c r="Z14" s="11"/>
    </row>
    <row r="15" ht="13.5" customHeight="1">
      <c r="A15" s="21">
        <v>10</v>
      </c>
      <c r="B15" s="22" t="s">
        <v>46</v>
      </c>
      <c r="C15" s="30" t="s">
        <v>53</v>
      </c>
      <c r="D15" s="24">
        <v>11</v>
      </c>
      <c r="E15" s="11"/>
      <c r="F15" s="28"/>
      <c r="G15" s="23"/>
      <c r="H15" s="26"/>
      <c r="I15" s="26"/>
      <c r="J15" s="26"/>
      <c r="K15" s="26"/>
      <c r="L15" s="27">
        <f t="shared" si="1"/>
        <v>0</v>
      </c>
      <c r="M15" s="11"/>
      <c r="N15" s="11"/>
      <c r="O15" s="11"/>
      <c r="P15" s="11"/>
      <c r="Q15" s="11"/>
      <c r="R15" s="11"/>
      <c r="S15" s="11"/>
      <c r="T15" s="11"/>
      <c r="U15" s="11"/>
      <c r="V15" s="11"/>
      <c r="W15" s="11"/>
      <c r="X15" s="11"/>
      <c r="Y15" s="11"/>
      <c r="Z15" s="11"/>
    </row>
    <row r="16" ht="13.5" customHeight="1">
      <c r="A16" s="21">
        <v>11</v>
      </c>
      <c r="B16" s="22" t="s">
        <v>46</v>
      </c>
      <c r="C16" s="31" t="s">
        <v>54</v>
      </c>
      <c r="D16" s="24">
        <v>10</v>
      </c>
      <c r="E16" s="11"/>
      <c r="F16" s="28"/>
      <c r="G16" s="23"/>
      <c r="H16" s="26"/>
      <c r="I16" s="26"/>
      <c r="J16" s="26"/>
      <c r="K16" s="26"/>
      <c r="L16" s="27">
        <f t="shared" si="1"/>
        <v>0</v>
      </c>
      <c r="M16" s="11"/>
      <c r="N16" s="11"/>
      <c r="O16" s="11"/>
      <c r="P16" s="11"/>
      <c r="Q16" s="11"/>
      <c r="R16" s="11"/>
      <c r="S16" s="11"/>
      <c r="T16" s="11"/>
      <c r="U16" s="11"/>
      <c r="V16" s="11"/>
      <c r="W16" s="11"/>
      <c r="X16" s="11"/>
      <c r="Y16" s="11"/>
      <c r="Z16" s="11"/>
    </row>
    <row r="17" ht="13.5" customHeight="1">
      <c r="A17" s="21">
        <v>12</v>
      </c>
      <c r="B17" s="22" t="s">
        <v>46</v>
      </c>
      <c r="C17" s="29" t="s">
        <v>55</v>
      </c>
      <c r="D17" s="24">
        <v>2</v>
      </c>
      <c r="E17" s="11"/>
      <c r="F17" s="28"/>
      <c r="G17" s="23"/>
      <c r="H17" s="26"/>
      <c r="I17" s="26"/>
      <c r="J17" s="26"/>
      <c r="K17" s="26"/>
      <c r="L17" s="27">
        <f t="shared" si="1"/>
        <v>0</v>
      </c>
      <c r="M17" s="11"/>
      <c r="N17" s="11"/>
      <c r="O17" s="11"/>
      <c r="P17" s="11"/>
      <c r="Q17" s="11"/>
      <c r="R17" s="11"/>
      <c r="S17" s="11"/>
      <c r="T17" s="11"/>
      <c r="U17" s="11"/>
      <c r="V17" s="11"/>
      <c r="W17" s="11"/>
      <c r="X17" s="11"/>
      <c r="Y17" s="11"/>
      <c r="Z17" s="11"/>
    </row>
    <row r="18" ht="13.5" customHeight="1">
      <c r="A18" s="21">
        <v>13</v>
      </c>
      <c r="B18" s="22" t="s">
        <v>46</v>
      </c>
      <c r="C18" s="29" t="s">
        <v>56</v>
      </c>
      <c r="D18" s="24">
        <v>6</v>
      </c>
      <c r="E18" s="11"/>
      <c r="F18" s="28"/>
      <c r="G18" s="23"/>
      <c r="H18" s="26"/>
      <c r="I18" s="26"/>
      <c r="J18" s="26"/>
      <c r="K18" s="26"/>
      <c r="L18" s="27">
        <f t="shared" si="1"/>
        <v>0</v>
      </c>
      <c r="M18" s="11"/>
      <c r="N18" s="11"/>
      <c r="O18" s="11"/>
      <c r="P18" s="11"/>
      <c r="Q18" s="11"/>
      <c r="R18" s="11"/>
      <c r="S18" s="11"/>
      <c r="T18" s="11"/>
      <c r="U18" s="11"/>
      <c r="V18" s="11"/>
      <c r="W18" s="11"/>
      <c r="X18" s="11"/>
      <c r="Y18" s="11"/>
      <c r="Z18" s="11"/>
    </row>
    <row r="19" ht="13.5" customHeight="1">
      <c r="A19" s="21">
        <v>14</v>
      </c>
      <c r="B19" s="22" t="s">
        <v>46</v>
      </c>
      <c r="C19" s="29" t="s">
        <v>57</v>
      </c>
      <c r="D19" s="24">
        <v>2</v>
      </c>
      <c r="E19" s="11"/>
      <c r="F19" s="11"/>
      <c r="G19" s="11"/>
      <c r="H19" s="32"/>
      <c r="I19" s="32"/>
      <c r="J19" s="32"/>
      <c r="K19" s="32"/>
      <c r="L19" s="32"/>
      <c r="M19" s="11"/>
      <c r="N19" s="11"/>
      <c r="O19" s="11"/>
      <c r="P19" s="11"/>
      <c r="Q19" s="11"/>
      <c r="R19" s="11"/>
      <c r="S19" s="11"/>
      <c r="T19" s="11"/>
      <c r="U19" s="11"/>
      <c r="V19" s="11"/>
      <c r="W19" s="11"/>
      <c r="X19" s="11"/>
      <c r="Y19" s="11"/>
      <c r="Z19" s="11"/>
    </row>
    <row r="20" ht="13.5" customHeight="1">
      <c r="A20" s="21">
        <v>15</v>
      </c>
      <c r="B20" s="22" t="s">
        <v>46</v>
      </c>
      <c r="C20" s="29" t="s">
        <v>58</v>
      </c>
      <c r="D20" s="24">
        <v>3</v>
      </c>
      <c r="E20" s="11"/>
      <c r="F20" s="11"/>
      <c r="G20" s="11"/>
      <c r="H20" s="32"/>
      <c r="I20" s="32"/>
      <c r="J20" s="32"/>
      <c r="K20" s="32"/>
      <c r="L20" s="32"/>
      <c r="M20" s="11"/>
      <c r="N20" s="11"/>
      <c r="O20" s="11"/>
      <c r="P20" s="11"/>
      <c r="Q20" s="11"/>
      <c r="R20" s="11"/>
      <c r="S20" s="11"/>
      <c r="T20" s="11"/>
      <c r="U20" s="11"/>
      <c r="V20" s="11"/>
      <c r="W20" s="11"/>
      <c r="X20" s="11"/>
      <c r="Y20" s="11"/>
      <c r="Z20" s="11"/>
    </row>
    <row r="21" ht="15" customHeight="1">
      <c r="A21" s="18" t="s">
        <v>59</v>
      </c>
      <c r="B21" s="2"/>
      <c r="C21" s="3"/>
      <c r="D21" s="19">
        <f>SUM(D12:D20)</f>
        <v>48</v>
      </c>
      <c r="E21" s="11"/>
      <c r="F21" s="11"/>
      <c r="G21" s="11"/>
      <c r="H21" s="32"/>
      <c r="I21" s="32"/>
      <c r="J21" s="32"/>
      <c r="K21" s="32"/>
      <c r="L21" s="32"/>
      <c r="M21" s="11"/>
      <c r="N21" s="11"/>
      <c r="O21" s="11"/>
      <c r="P21" s="11"/>
      <c r="Q21" s="11"/>
      <c r="R21" s="11"/>
      <c r="S21" s="11"/>
      <c r="T21" s="11"/>
      <c r="U21" s="11"/>
      <c r="V21" s="11"/>
      <c r="W21" s="11"/>
      <c r="X21" s="11"/>
      <c r="Y21" s="11"/>
      <c r="Z21" s="11"/>
    </row>
    <row r="22" ht="13.5" customHeight="1">
      <c r="A22" s="21">
        <v>16</v>
      </c>
      <c r="B22" s="22" t="s">
        <v>59</v>
      </c>
      <c r="C22" s="23" t="s">
        <v>48</v>
      </c>
      <c r="D22" s="24">
        <v>10</v>
      </c>
      <c r="E22" s="11"/>
      <c r="F22" s="11"/>
      <c r="G22" s="11"/>
      <c r="H22" s="32"/>
      <c r="I22" s="32"/>
      <c r="J22" s="32"/>
      <c r="K22" s="32"/>
      <c r="L22" s="32"/>
      <c r="M22" s="11"/>
      <c r="N22" s="11"/>
      <c r="O22" s="11"/>
      <c r="P22" s="11"/>
      <c r="Q22" s="11"/>
      <c r="R22" s="11"/>
      <c r="S22" s="11"/>
      <c r="T22" s="11"/>
      <c r="U22" s="11"/>
      <c r="V22" s="11"/>
      <c r="W22" s="11"/>
      <c r="X22" s="11"/>
      <c r="Y22" s="11"/>
      <c r="Z22" s="11"/>
    </row>
    <row r="23" ht="13.5" customHeight="1">
      <c r="A23" s="21">
        <v>17</v>
      </c>
      <c r="B23" s="22" t="s">
        <v>59</v>
      </c>
      <c r="C23" s="23" t="s">
        <v>60</v>
      </c>
      <c r="D23" s="24">
        <v>3</v>
      </c>
      <c r="E23" s="11"/>
      <c r="F23" s="11"/>
      <c r="G23" s="11"/>
      <c r="H23" s="32"/>
      <c r="I23" s="32"/>
      <c r="J23" s="32"/>
      <c r="K23" s="32"/>
      <c r="L23" s="32"/>
      <c r="M23" s="11"/>
      <c r="N23" s="11"/>
      <c r="O23" s="11"/>
      <c r="P23" s="11"/>
      <c r="Q23" s="11"/>
      <c r="R23" s="11"/>
      <c r="S23" s="11"/>
      <c r="T23" s="11"/>
      <c r="U23" s="11"/>
      <c r="V23" s="11"/>
      <c r="W23" s="11"/>
      <c r="X23" s="11"/>
      <c r="Y23" s="11"/>
      <c r="Z23" s="11"/>
    </row>
    <row r="24" ht="13.5" customHeight="1">
      <c r="A24" s="21">
        <v>18</v>
      </c>
      <c r="B24" s="22" t="s">
        <v>59</v>
      </c>
      <c r="C24" s="23" t="s">
        <v>61</v>
      </c>
      <c r="D24" s="24">
        <v>4</v>
      </c>
      <c r="E24" s="11"/>
      <c r="F24" s="11"/>
      <c r="G24" s="11"/>
      <c r="H24" s="32"/>
      <c r="I24" s="32"/>
      <c r="J24" s="32"/>
      <c r="K24" s="32"/>
      <c r="L24" s="32"/>
      <c r="M24" s="11"/>
      <c r="N24" s="11"/>
      <c r="O24" s="11"/>
      <c r="P24" s="11"/>
      <c r="Q24" s="11"/>
      <c r="R24" s="11"/>
      <c r="S24" s="11"/>
      <c r="T24" s="11"/>
      <c r="U24" s="11"/>
      <c r="V24" s="11"/>
      <c r="W24" s="11"/>
      <c r="X24" s="11"/>
      <c r="Y24" s="11"/>
      <c r="Z24" s="11"/>
    </row>
    <row r="25" ht="13.5" customHeight="1">
      <c r="A25" s="21">
        <v>19</v>
      </c>
      <c r="B25" s="22" t="s">
        <v>59</v>
      </c>
      <c r="C25" s="29" t="s">
        <v>62</v>
      </c>
      <c r="D25" s="24">
        <v>5</v>
      </c>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21">
        <v>20</v>
      </c>
      <c r="B26" s="22" t="s">
        <v>59</v>
      </c>
      <c r="C26" s="29" t="s">
        <v>63</v>
      </c>
      <c r="D26" s="24">
        <v>7</v>
      </c>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21">
        <v>21</v>
      </c>
      <c r="B27" s="22" t="s">
        <v>59</v>
      </c>
      <c r="C27" s="29" t="s">
        <v>64</v>
      </c>
      <c r="D27" s="24">
        <v>4</v>
      </c>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21">
        <v>22</v>
      </c>
      <c r="B28" s="22" t="s">
        <v>59</v>
      </c>
      <c r="C28" s="29" t="s">
        <v>65</v>
      </c>
      <c r="D28" s="24">
        <v>8</v>
      </c>
      <c r="E28" s="11"/>
      <c r="M28" s="11"/>
      <c r="N28" s="11"/>
      <c r="O28" s="11"/>
      <c r="P28" s="11"/>
      <c r="Q28" s="11"/>
      <c r="R28" s="11"/>
      <c r="S28" s="11"/>
      <c r="T28" s="11"/>
      <c r="U28" s="11"/>
      <c r="V28" s="11"/>
      <c r="W28" s="11"/>
      <c r="X28" s="11"/>
      <c r="Y28" s="11"/>
      <c r="Z28" s="11"/>
    </row>
    <row r="29" ht="13.5" customHeight="1">
      <c r="A29" s="21">
        <v>23</v>
      </c>
      <c r="B29" s="22" t="s">
        <v>59</v>
      </c>
      <c r="C29" s="29" t="s">
        <v>66</v>
      </c>
      <c r="D29" s="24">
        <v>6</v>
      </c>
      <c r="E29" s="11"/>
      <c r="M29" s="11"/>
      <c r="N29" s="11"/>
      <c r="O29" s="11"/>
      <c r="P29" s="11"/>
      <c r="Q29" s="11"/>
      <c r="R29" s="11"/>
      <c r="S29" s="11"/>
      <c r="T29" s="11"/>
      <c r="U29" s="11"/>
      <c r="V29" s="11"/>
      <c r="W29" s="11"/>
      <c r="X29" s="11"/>
      <c r="Y29" s="11"/>
      <c r="Z29" s="11"/>
    </row>
    <row r="30" ht="13.5" customHeight="1">
      <c r="A30" s="21">
        <v>24</v>
      </c>
      <c r="B30" s="22" t="s">
        <v>59</v>
      </c>
      <c r="C30" s="29" t="s">
        <v>67</v>
      </c>
      <c r="D30" s="24">
        <v>12</v>
      </c>
      <c r="E30" s="11"/>
      <c r="M30" s="11"/>
      <c r="N30" s="11"/>
      <c r="O30" s="11"/>
      <c r="P30" s="11"/>
      <c r="Q30" s="11"/>
      <c r="R30" s="11"/>
      <c r="S30" s="11"/>
      <c r="T30" s="11"/>
      <c r="U30" s="11"/>
      <c r="V30" s="11"/>
      <c r="W30" s="11"/>
      <c r="X30" s="11"/>
      <c r="Y30" s="11"/>
      <c r="Z30" s="11"/>
    </row>
    <row r="31" ht="13.5" customHeight="1">
      <c r="A31" s="21">
        <v>25</v>
      </c>
      <c r="B31" s="22" t="s">
        <v>59</v>
      </c>
      <c r="C31" s="29" t="s">
        <v>68</v>
      </c>
      <c r="D31" s="24">
        <v>10</v>
      </c>
      <c r="E31" s="11"/>
      <c r="M31" s="11"/>
      <c r="N31" s="11"/>
      <c r="O31" s="11"/>
      <c r="P31" s="11"/>
      <c r="Q31" s="11"/>
      <c r="R31" s="11"/>
      <c r="S31" s="11"/>
      <c r="T31" s="11"/>
      <c r="U31" s="11"/>
      <c r="V31" s="11"/>
      <c r="W31" s="11"/>
      <c r="X31" s="11"/>
      <c r="Y31" s="11"/>
      <c r="Z31" s="11"/>
    </row>
    <row r="32" ht="13.5" customHeight="1">
      <c r="A32" s="21">
        <v>26</v>
      </c>
      <c r="B32" s="22" t="s">
        <v>59</v>
      </c>
      <c r="C32" s="29" t="s">
        <v>69</v>
      </c>
      <c r="D32" s="24">
        <v>14</v>
      </c>
      <c r="E32" s="11"/>
      <c r="M32" s="11"/>
      <c r="N32" s="11"/>
      <c r="O32" s="11"/>
      <c r="P32" s="11"/>
      <c r="Q32" s="11"/>
      <c r="R32" s="11"/>
      <c r="S32" s="11"/>
      <c r="T32" s="11"/>
      <c r="U32" s="11"/>
      <c r="V32" s="11"/>
      <c r="W32" s="11"/>
      <c r="X32" s="11"/>
      <c r="Y32" s="11"/>
      <c r="Z32" s="11"/>
    </row>
    <row r="33" ht="13.5" customHeight="1">
      <c r="A33" s="21">
        <v>27</v>
      </c>
      <c r="B33" s="22" t="s">
        <v>59</v>
      </c>
      <c r="C33" s="33" t="s">
        <v>70</v>
      </c>
      <c r="D33" s="24">
        <v>6</v>
      </c>
      <c r="E33" s="11"/>
      <c r="M33" s="11"/>
      <c r="N33" s="11"/>
      <c r="O33" s="11"/>
      <c r="P33" s="11"/>
      <c r="Q33" s="11"/>
      <c r="R33" s="11"/>
      <c r="S33" s="11"/>
      <c r="T33" s="11"/>
      <c r="U33" s="11"/>
      <c r="V33" s="11"/>
      <c r="W33" s="11"/>
      <c r="X33" s="11"/>
      <c r="Y33" s="11"/>
      <c r="Z33" s="11"/>
    </row>
    <row r="34" ht="13.5" customHeight="1">
      <c r="A34" s="21">
        <v>28</v>
      </c>
      <c r="B34" s="22" t="s">
        <v>59</v>
      </c>
      <c r="C34" s="29" t="s">
        <v>71</v>
      </c>
      <c r="D34" s="24">
        <v>9</v>
      </c>
      <c r="E34" s="11"/>
      <c r="M34" s="11"/>
      <c r="N34" s="11"/>
      <c r="O34" s="11"/>
      <c r="P34" s="11"/>
      <c r="Q34" s="11"/>
      <c r="R34" s="11"/>
      <c r="S34" s="11"/>
      <c r="T34" s="11"/>
      <c r="U34" s="11"/>
      <c r="V34" s="11"/>
      <c r="W34" s="11"/>
      <c r="X34" s="11"/>
      <c r="Y34" s="11"/>
      <c r="Z34" s="11"/>
    </row>
    <row r="35" ht="13.5" customHeight="1">
      <c r="A35" s="21">
        <v>29</v>
      </c>
      <c r="B35" s="22" t="s">
        <v>59</v>
      </c>
      <c r="C35" s="29" t="s">
        <v>72</v>
      </c>
      <c r="D35" s="24">
        <v>8</v>
      </c>
      <c r="E35" s="11"/>
      <c r="M35" s="11"/>
      <c r="N35" s="11"/>
      <c r="O35" s="11"/>
      <c r="P35" s="11"/>
      <c r="Q35" s="11"/>
      <c r="R35" s="11"/>
      <c r="S35" s="11"/>
      <c r="T35" s="11"/>
      <c r="U35" s="11"/>
      <c r="V35" s="11"/>
      <c r="W35" s="11"/>
      <c r="X35" s="11"/>
      <c r="Y35" s="11"/>
      <c r="Z35" s="11"/>
    </row>
    <row r="36" ht="13.5" customHeight="1">
      <c r="A36" s="21">
        <v>30</v>
      </c>
      <c r="B36" s="22" t="s">
        <v>59</v>
      </c>
      <c r="C36" s="29" t="s">
        <v>73</v>
      </c>
      <c r="D36" s="24">
        <v>16</v>
      </c>
      <c r="E36" s="11"/>
      <c r="M36" s="11"/>
      <c r="N36" s="11"/>
      <c r="O36" s="11"/>
      <c r="P36" s="11"/>
      <c r="Q36" s="11"/>
      <c r="R36" s="11"/>
      <c r="S36" s="11"/>
      <c r="T36" s="11"/>
      <c r="U36" s="11"/>
      <c r="V36" s="11"/>
      <c r="W36" s="11"/>
      <c r="X36" s="11"/>
      <c r="Y36" s="11"/>
      <c r="Z36" s="11"/>
    </row>
    <row r="37" ht="13.5" customHeight="1">
      <c r="A37" s="21">
        <v>31</v>
      </c>
      <c r="B37" s="22" t="s">
        <v>59</v>
      </c>
      <c r="C37" s="29" t="s">
        <v>74</v>
      </c>
      <c r="D37" s="24">
        <v>4</v>
      </c>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21">
        <v>32</v>
      </c>
      <c r="B38" s="22" t="s">
        <v>59</v>
      </c>
      <c r="C38" s="29" t="s">
        <v>75</v>
      </c>
      <c r="D38" s="24">
        <v>8</v>
      </c>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21">
        <v>33</v>
      </c>
      <c r="B39" s="22" t="s">
        <v>59</v>
      </c>
      <c r="C39" s="29" t="s">
        <v>76</v>
      </c>
      <c r="D39" s="24">
        <v>4</v>
      </c>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21">
        <v>34</v>
      </c>
      <c r="B40" s="22" t="s">
        <v>59</v>
      </c>
      <c r="C40" s="29" t="s">
        <v>77</v>
      </c>
      <c r="D40" s="24">
        <v>4</v>
      </c>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21">
        <v>35</v>
      </c>
      <c r="B41" s="22" t="s">
        <v>59</v>
      </c>
      <c r="C41" s="29" t="s">
        <v>57</v>
      </c>
      <c r="D41" s="24">
        <v>7</v>
      </c>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21">
        <v>36</v>
      </c>
      <c r="B42" s="22" t="s">
        <v>59</v>
      </c>
      <c r="C42" s="29" t="s">
        <v>58</v>
      </c>
      <c r="D42" s="24">
        <v>7</v>
      </c>
      <c r="E42" s="11"/>
      <c r="F42" s="11"/>
      <c r="G42" s="11"/>
      <c r="H42" s="11"/>
      <c r="I42" s="11"/>
      <c r="J42" s="11"/>
      <c r="K42" s="11"/>
      <c r="L42" s="11"/>
      <c r="M42" s="11"/>
      <c r="N42" s="11"/>
      <c r="O42" s="11"/>
      <c r="P42" s="11"/>
      <c r="Q42" s="11"/>
      <c r="R42" s="11"/>
      <c r="S42" s="11"/>
      <c r="T42" s="11"/>
      <c r="U42" s="11"/>
      <c r="V42" s="11"/>
      <c r="W42" s="11"/>
      <c r="X42" s="11"/>
      <c r="Y42" s="11"/>
      <c r="Z42" s="11"/>
    </row>
    <row r="43" ht="15" customHeight="1">
      <c r="A43" s="18" t="s">
        <v>78</v>
      </c>
      <c r="B43" s="2"/>
      <c r="C43" s="3"/>
      <c r="D43" s="19">
        <f>SUM(D22:D42)</f>
        <v>156</v>
      </c>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21">
        <v>37</v>
      </c>
      <c r="B44" s="22" t="s">
        <v>78</v>
      </c>
      <c r="C44" s="23" t="s">
        <v>48</v>
      </c>
      <c r="D44" s="24">
        <v>3</v>
      </c>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21">
        <v>38</v>
      </c>
      <c r="B45" s="22" t="s">
        <v>78</v>
      </c>
      <c r="C45" s="29" t="s">
        <v>79</v>
      </c>
      <c r="D45" s="24">
        <v>4</v>
      </c>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21">
        <v>39</v>
      </c>
      <c r="B46" s="22" t="s">
        <v>78</v>
      </c>
      <c r="C46" s="29" t="s">
        <v>80</v>
      </c>
      <c r="D46" s="24">
        <v>5</v>
      </c>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21">
        <v>40</v>
      </c>
      <c r="B47" s="22" t="s">
        <v>78</v>
      </c>
      <c r="C47" s="29" t="s">
        <v>81</v>
      </c>
      <c r="D47" s="24">
        <v>3</v>
      </c>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21">
        <v>41</v>
      </c>
      <c r="B48" s="22" t="s">
        <v>78</v>
      </c>
      <c r="C48" s="23" t="s">
        <v>82</v>
      </c>
      <c r="D48" s="24">
        <v>2</v>
      </c>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21">
        <v>42</v>
      </c>
      <c r="B49" s="22" t="s">
        <v>78</v>
      </c>
      <c r="C49" s="23" t="s">
        <v>83</v>
      </c>
      <c r="D49" s="24">
        <v>2</v>
      </c>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21">
        <v>43</v>
      </c>
      <c r="B50" s="22" t="s">
        <v>78</v>
      </c>
      <c r="C50" s="23" t="s">
        <v>84</v>
      </c>
      <c r="D50" s="24">
        <v>2</v>
      </c>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21">
        <v>44</v>
      </c>
      <c r="B51" s="22" t="s">
        <v>78</v>
      </c>
      <c r="C51" s="23" t="s">
        <v>85</v>
      </c>
      <c r="D51" s="24">
        <v>2</v>
      </c>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21">
        <v>45</v>
      </c>
      <c r="B52" s="34" t="s">
        <v>78</v>
      </c>
      <c r="C52" s="29" t="s">
        <v>57</v>
      </c>
      <c r="D52" s="24">
        <v>1</v>
      </c>
      <c r="E52" s="11"/>
      <c r="F52" s="11"/>
      <c r="G52" s="11"/>
      <c r="H52" s="11"/>
      <c r="I52" s="11"/>
      <c r="J52" s="11"/>
      <c r="K52" s="11"/>
      <c r="L52" s="11"/>
      <c r="M52" s="11"/>
      <c r="N52" s="11"/>
      <c r="O52" s="11"/>
      <c r="P52" s="11"/>
      <c r="Q52" s="11"/>
      <c r="R52" s="11"/>
      <c r="S52" s="11"/>
      <c r="T52" s="11"/>
      <c r="U52" s="11"/>
      <c r="V52" s="11"/>
      <c r="W52" s="11"/>
      <c r="X52" s="11"/>
      <c r="Y52" s="11"/>
      <c r="Z52" s="11"/>
    </row>
    <row r="53" ht="12" customHeight="1">
      <c r="A53" s="35"/>
      <c r="B53" s="2"/>
      <c r="C53" s="3"/>
      <c r="D53" s="19">
        <f>SUM(D44:D52)</f>
        <v>24</v>
      </c>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36"/>
      <c r="B54" s="11"/>
      <c r="C54" s="11"/>
      <c r="D54" s="37">
        <f>SUM(D11,D21,D43,D53)</f>
        <v>240</v>
      </c>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36"/>
      <c r="B55" s="11"/>
      <c r="C55" s="11"/>
      <c r="D55" s="32"/>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36"/>
      <c r="B56" s="11"/>
      <c r="C56" s="11"/>
      <c r="D56" s="32"/>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36"/>
      <c r="B57" s="11"/>
      <c r="C57" s="11"/>
      <c r="D57" s="32"/>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36"/>
      <c r="B58" s="11"/>
      <c r="C58" s="11"/>
      <c r="D58" s="32"/>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36"/>
      <c r="B59" s="11"/>
      <c r="C59" s="11"/>
      <c r="D59" s="32"/>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36"/>
      <c r="B60" s="11"/>
      <c r="C60" s="11"/>
      <c r="D60" s="32"/>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36"/>
      <c r="B61" s="11"/>
      <c r="C61" s="11"/>
      <c r="D61" s="32"/>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36"/>
      <c r="B62" s="11"/>
      <c r="C62" s="11"/>
      <c r="D62" s="32"/>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36"/>
      <c r="B63" s="11"/>
      <c r="C63" s="11"/>
      <c r="D63" s="32"/>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36"/>
      <c r="B64" s="11"/>
      <c r="C64" s="11"/>
      <c r="D64" s="32"/>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36"/>
      <c r="B65" s="11"/>
      <c r="C65" s="11"/>
      <c r="D65" s="32"/>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36"/>
      <c r="B66" s="11"/>
      <c r="C66" s="11"/>
      <c r="D66" s="32"/>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36"/>
      <c r="B67" s="11"/>
      <c r="C67" s="11"/>
      <c r="D67" s="32"/>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36"/>
      <c r="B68" s="11"/>
      <c r="C68" s="11"/>
      <c r="D68" s="32"/>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36"/>
      <c r="B69" s="11"/>
      <c r="C69" s="11"/>
      <c r="D69" s="32"/>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36"/>
      <c r="B70" s="11"/>
      <c r="C70" s="11"/>
      <c r="D70" s="32"/>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36"/>
      <c r="B71" s="11"/>
      <c r="C71" s="11"/>
      <c r="D71" s="32"/>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36"/>
      <c r="B72" s="11"/>
      <c r="C72" s="11"/>
      <c r="D72" s="32"/>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36"/>
      <c r="B73" s="11"/>
      <c r="C73" s="11"/>
      <c r="D73" s="32"/>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36"/>
      <c r="B74" s="11"/>
      <c r="C74" s="11"/>
      <c r="D74" s="32"/>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36"/>
      <c r="B75" s="11"/>
      <c r="C75" s="11"/>
      <c r="D75" s="32"/>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36"/>
      <c r="B76" s="11"/>
      <c r="C76" s="11"/>
      <c r="D76" s="32"/>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36"/>
      <c r="B77" s="11"/>
      <c r="C77" s="11"/>
      <c r="D77" s="32"/>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36"/>
      <c r="B78" s="11"/>
      <c r="C78" s="11"/>
      <c r="D78" s="32"/>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36"/>
      <c r="B79" s="11"/>
      <c r="C79" s="11"/>
      <c r="D79" s="32"/>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36"/>
      <c r="B80" s="11"/>
      <c r="C80" s="11"/>
      <c r="D80" s="32"/>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36"/>
      <c r="B81" s="11"/>
      <c r="C81" s="11"/>
      <c r="D81" s="32"/>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36"/>
      <c r="B82" s="11"/>
      <c r="C82" s="11"/>
      <c r="D82" s="32"/>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36"/>
      <c r="B83" s="11"/>
      <c r="C83" s="11"/>
      <c r="D83" s="32"/>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36"/>
      <c r="B84" s="11"/>
      <c r="C84" s="11"/>
      <c r="D84" s="32"/>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36"/>
      <c r="B85" s="11"/>
      <c r="C85" s="11"/>
      <c r="D85" s="32"/>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36"/>
      <c r="B86" s="11"/>
      <c r="C86" s="11"/>
      <c r="D86" s="32"/>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36"/>
      <c r="B87" s="11"/>
      <c r="C87" s="11"/>
      <c r="D87" s="32"/>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36"/>
      <c r="B88" s="11"/>
      <c r="C88" s="11"/>
      <c r="D88" s="32"/>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36"/>
      <c r="B89" s="11"/>
      <c r="C89" s="11"/>
      <c r="D89" s="32"/>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36"/>
      <c r="B90" s="11"/>
      <c r="C90" s="11"/>
      <c r="D90" s="32"/>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36"/>
      <c r="B91" s="11"/>
      <c r="C91" s="11"/>
      <c r="D91" s="32"/>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36"/>
      <c r="B92" s="11"/>
      <c r="C92" s="11"/>
      <c r="D92" s="32"/>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36"/>
      <c r="B93" s="11"/>
      <c r="C93" s="11"/>
      <c r="D93" s="32"/>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36"/>
      <c r="B94" s="11"/>
      <c r="C94" s="11"/>
      <c r="D94" s="32"/>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36"/>
      <c r="B95" s="11"/>
      <c r="C95" s="11"/>
      <c r="D95" s="32"/>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36"/>
      <c r="B96" s="11"/>
      <c r="C96" s="11"/>
      <c r="D96" s="32"/>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36"/>
      <c r="B97" s="11"/>
      <c r="C97" s="11"/>
      <c r="D97" s="32"/>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36"/>
      <c r="B98" s="11"/>
      <c r="C98" s="11"/>
      <c r="D98" s="32"/>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36"/>
      <c r="B99" s="11"/>
      <c r="C99" s="11"/>
      <c r="D99" s="32"/>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36"/>
      <c r="B100" s="11"/>
      <c r="C100" s="11"/>
      <c r="D100" s="32"/>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36"/>
      <c r="B101" s="11"/>
      <c r="C101" s="11"/>
      <c r="D101" s="32"/>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36"/>
      <c r="B102" s="11"/>
      <c r="C102" s="11"/>
      <c r="D102" s="32"/>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36"/>
      <c r="B103" s="11"/>
      <c r="C103" s="11"/>
      <c r="D103" s="32"/>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36"/>
      <c r="B104" s="11"/>
      <c r="C104" s="11"/>
      <c r="D104" s="32"/>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36"/>
      <c r="B105" s="11"/>
      <c r="C105" s="11"/>
      <c r="D105" s="32"/>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36"/>
      <c r="B106" s="11"/>
      <c r="C106" s="11"/>
      <c r="D106" s="32"/>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36"/>
      <c r="B107" s="11"/>
      <c r="C107" s="11"/>
      <c r="D107" s="32"/>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36"/>
      <c r="B108" s="11"/>
      <c r="C108" s="11"/>
      <c r="D108" s="32"/>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36"/>
      <c r="B109" s="11"/>
      <c r="C109" s="11"/>
      <c r="D109" s="32"/>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36"/>
      <c r="B110" s="11"/>
      <c r="C110" s="11"/>
      <c r="D110" s="32"/>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36"/>
      <c r="B111" s="11"/>
      <c r="C111" s="11"/>
      <c r="D111" s="32"/>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36"/>
      <c r="B112" s="11"/>
      <c r="C112" s="11"/>
      <c r="D112" s="32"/>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36"/>
      <c r="B113" s="11"/>
      <c r="C113" s="11"/>
      <c r="D113" s="32"/>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36"/>
      <c r="B114" s="11"/>
      <c r="C114" s="11"/>
      <c r="D114" s="32"/>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36"/>
      <c r="B115" s="11"/>
      <c r="C115" s="11"/>
      <c r="D115" s="32"/>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36"/>
      <c r="B116" s="11"/>
      <c r="C116" s="11"/>
      <c r="D116" s="32"/>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36"/>
      <c r="B117" s="11"/>
      <c r="C117" s="11"/>
      <c r="D117" s="32"/>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36"/>
      <c r="B118" s="11"/>
      <c r="C118" s="11"/>
      <c r="D118" s="32"/>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36"/>
      <c r="B119" s="11"/>
      <c r="C119" s="11"/>
      <c r="D119" s="32"/>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36"/>
      <c r="B120" s="11"/>
      <c r="C120" s="11"/>
      <c r="D120" s="32"/>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36"/>
      <c r="B121" s="11"/>
      <c r="C121" s="11"/>
      <c r="D121" s="32"/>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36"/>
      <c r="B122" s="11"/>
      <c r="C122" s="11"/>
      <c r="D122" s="32"/>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36"/>
      <c r="B123" s="11"/>
      <c r="C123" s="11"/>
      <c r="D123" s="32"/>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36"/>
      <c r="B124" s="11"/>
      <c r="C124" s="11"/>
      <c r="D124" s="32"/>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36"/>
      <c r="B125" s="11"/>
      <c r="C125" s="11"/>
      <c r="D125" s="32"/>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36"/>
      <c r="B126" s="11"/>
      <c r="C126" s="11"/>
      <c r="D126" s="32"/>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36"/>
      <c r="B127" s="11"/>
      <c r="C127" s="11"/>
      <c r="D127" s="32"/>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36"/>
      <c r="B128" s="11"/>
      <c r="C128" s="11"/>
      <c r="D128" s="32"/>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36"/>
      <c r="B129" s="11"/>
      <c r="C129" s="11"/>
      <c r="D129" s="32"/>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36"/>
      <c r="B130" s="11"/>
      <c r="C130" s="11"/>
      <c r="D130" s="32"/>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36"/>
      <c r="B131" s="11"/>
      <c r="C131" s="11"/>
      <c r="D131" s="32"/>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36"/>
      <c r="B132" s="11"/>
      <c r="C132" s="11"/>
      <c r="D132" s="32"/>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36"/>
      <c r="B133" s="11"/>
      <c r="C133" s="11"/>
      <c r="D133" s="32"/>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36"/>
      <c r="B134" s="11"/>
      <c r="C134" s="11"/>
      <c r="D134" s="32"/>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36"/>
      <c r="B135" s="11"/>
      <c r="C135" s="11"/>
      <c r="D135" s="32"/>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36"/>
      <c r="B136" s="11"/>
      <c r="C136" s="11"/>
      <c r="D136" s="32"/>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36"/>
      <c r="B137" s="11"/>
      <c r="C137" s="11"/>
      <c r="D137" s="32"/>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36"/>
      <c r="B138" s="11"/>
      <c r="C138" s="11"/>
      <c r="D138" s="32"/>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36"/>
      <c r="B139" s="11"/>
      <c r="C139" s="11"/>
      <c r="D139" s="32"/>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36"/>
      <c r="B140" s="11"/>
      <c r="C140" s="11"/>
      <c r="D140" s="32"/>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36"/>
      <c r="B141" s="11"/>
      <c r="C141" s="11"/>
      <c r="D141" s="32"/>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36"/>
      <c r="B142" s="11"/>
      <c r="C142" s="11"/>
      <c r="D142" s="32"/>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36"/>
      <c r="B143" s="11"/>
      <c r="C143" s="11"/>
      <c r="D143" s="32"/>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36"/>
      <c r="B144" s="11"/>
      <c r="C144" s="11"/>
      <c r="D144" s="32"/>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36"/>
      <c r="B145" s="11"/>
      <c r="C145" s="11"/>
      <c r="D145" s="32"/>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36"/>
      <c r="B146" s="11"/>
      <c r="C146" s="11"/>
      <c r="D146" s="32"/>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36"/>
      <c r="B147" s="11"/>
      <c r="C147" s="11"/>
      <c r="D147" s="32"/>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36"/>
      <c r="B148" s="11"/>
      <c r="C148" s="11"/>
      <c r="D148" s="32"/>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36"/>
      <c r="B149" s="11"/>
      <c r="C149" s="11"/>
      <c r="D149" s="32"/>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36"/>
      <c r="B150" s="11"/>
      <c r="C150" s="11"/>
      <c r="D150" s="32"/>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36"/>
      <c r="B151" s="11"/>
      <c r="C151" s="11"/>
      <c r="D151" s="32"/>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36"/>
      <c r="B152" s="11"/>
      <c r="C152" s="11"/>
      <c r="D152" s="32"/>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36"/>
      <c r="B153" s="11"/>
      <c r="C153" s="11"/>
      <c r="D153" s="32"/>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36"/>
      <c r="B154" s="11"/>
      <c r="C154" s="11"/>
      <c r="D154" s="32"/>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36"/>
      <c r="B155" s="11"/>
      <c r="C155" s="11"/>
      <c r="D155" s="32"/>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36"/>
      <c r="B156" s="11"/>
      <c r="C156" s="11"/>
      <c r="D156" s="32"/>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36"/>
      <c r="B157" s="11"/>
      <c r="C157" s="11"/>
      <c r="D157" s="32"/>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36"/>
      <c r="B158" s="11"/>
      <c r="C158" s="11"/>
      <c r="D158" s="32"/>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36"/>
      <c r="B159" s="11"/>
      <c r="C159" s="11"/>
      <c r="D159" s="32"/>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36"/>
      <c r="B160" s="11"/>
      <c r="C160" s="11"/>
      <c r="D160" s="32"/>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36"/>
      <c r="B161" s="11"/>
      <c r="C161" s="11"/>
      <c r="D161" s="32"/>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36"/>
      <c r="B162" s="11"/>
      <c r="C162" s="11"/>
      <c r="D162" s="32"/>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36"/>
      <c r="B163" s="11"/>
      <c r="C163" s="11"/>
      <c r="D163" s="32"/>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36"/>
      <c r="B164" s="11"/>
      <c r="C164" s="11"/>
      <c r="D164" s="32"/>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36"/>
      <c r="B165" s="11"/>
      <c r="C165" s="11"/>
      <c r="D165" s="32"/>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36"/>
      <c r="B166" s="11"/>
      <c r="C166" s="11"/>
      <c r="D166" s="32"/>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36"/>
      <c r="B167" s="11"/>
      <c r="C167" s="11"/>
      <c r="D167" s="32"/>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36"/>
      <c r="B168" s="11"/>
      <c r="C168" s="11"/>
      <c r="D168" s="32"/>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36"/>
      <c r="B169" s="11"/>
      <c r="C169" s="11"/>
      <c r="D169" s="32"/>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36"/>
      <c r="B170" s="11"/>
      <c r="C170" s="11"/>
      <c r="D170" s="32"/>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36"/>
      <c r="B171" s="11"/>
      <c r="C171" s="11"/>
      <c r="D171" s="32"/>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36"/>
      <c r="B172" s="11"/>
      <c r="C172" s="11"/>
      <c r="D172" s="32"/>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36"/>
      <c r="B173" s="11"/>
      <c r="C173" s="11"/>
      <c r="D173" s="32"/>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36"/>
      <c r="B174" s="11"/>
      <c r="C174" s="11"/>
      <c r="D174" s="32"/>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36"/>
      <c r="B175" s="11"/>
      <c r="C175" s="11"/>
      <c r="D175" s="32"/>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36"/>
      <c r="B176" s="11"/>
      <c r="C176" s="11"/>
      <c r="D176" s="32"/>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36"/>
      <c r="B177" s="11"/>
      <c r="C177" s="11"/>
      <c r="D177" s="32"/>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36"/>
      <c r="B178" s="11"/>
      <c r="C178" s="11"/>
      <c r="D178" s="32"/>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36"/>
      <c r="B179" s="11"/>
      <c r="C179" s="11"/>
      <c r="D179" s="32"/>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36"/>
      <c r="B180" s="11"/>
      <c r="C180" s="11"/>
      <c r="D180" s="32"/>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36"/>
      <c r="B181" s="11"/>
      <c r="C181" s="11"/>
      <c r="D181" s="32"/>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36"/>
      <c r="B182" s="11"/>
      <c r="C182" s="11"/>
      <c r="D182" s="32"/>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36"/>
      <c r="B183" s="11"/>
      <c r="C183" s="11"/>
      <c r="D183" s="32"/>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36"/>
      <c r="B184" s="11"/>
      <c r="C184" s="11"/>
      <c r="D184" s="32"/>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36"/>
      <c r="B185" s="11"/>
      <c r="C185" s="11"/>
      <c r="D185" s="32"/>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36"/>
      <c r="B186" s="11"/>
      <c r="C186" s="11"/>
      <c r="D186" s="32"/>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36"/>
      <c r="B187" s="11"/>
      <c r="C187" s="11"/>
      <c r="D187" s="32"/>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36"/>
      <c r="B188" s="11"/>
      <c r="C188" s="11"/>
      <c r="D188" s="32"/>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36"/>
      <c r="B189" s="11"/>
      <c r="C189" s="11"/>
      <c r="D189" s="32"/>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36"/>
      <c r="B190" s="11"/>
      <c r="C190" s="11"/>
      <c r="D190" s="32"/>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36"/>
      <c r="B191" s="11"/>
      <c r="C191" s="11"/>
      <c r="D191" s="32"/>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36"/>
      <c r="B192" s="11"/>
      <c r="C192" s="11"/>
      <c r="D192" s="32"/>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36"/>
      <c r="B193" s="11"/>
      <c r="C193" s="11"/>
      <c r="D193" s="32"/>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36"/>
      <c r="B194" s="11"/>
      <c r="C194" s="11"/>
      <c r="D194" s="32"/>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36"/>
      <c r="B195" s="11"/>
      <c r="C195" s="11"/>
      <c r="D195" s="32"/>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36"/>
      <c r="B196" s="11"/>
      <c r="C196" s="11"/>
      <c r="D196" s="32"/>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36"/>
      <c r="B197" s="11"/>
      <c r="C197" s="11"/>
      <c r="D197" s="32"/>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36"/>
      <c r="B198" s="11"/>
      <c r="C198" s="11"/>
      <c r="D198" s="32"/>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36"/>
      <c r="B199" s="11"/>
      <c r="C199" s="11"/>
      <c r="D199" s="32"/>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36"/>
      <c r="B200" s="11"/>
      <c r="C200" s="11"/>
      <c r="D200" s="32"/>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36"/>
      <c r="B201" s="11"/>
      <c r="C201" s="11"/>
      <c r="D201" s="32"/>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36"/>
      <c r="B202" s="11"/>
      <c r="C202" s="11"/>
      <c r="D202" s="32"/>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36"/>
      <c r="B203" s="11"/>
      <c r="C203" s="11"/>
      <c r="D203" s="32"/>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36"/>
      <c r="B204" s="11"/>
      <c r="C204" s="11"/>
      <c r="D204" s="32"/>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36"/>
      <c r="B205" s="11"/>
      <c r="C205" s="11"/>
      <c r="D205" s="32"/>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36"/>
      <c r="B206" s="11"/>
      <c r="C206" s="11"/>
      <c r="D206" s="32"/>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36"/>
      <c r="B207" s="11"/>
      <c r="C207" s="11"/>
      <c r="D207" s="32"/>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36"/>
      <c r="B208" s="11"/>
      <c r="C208" s="11"/>
      <c r="D208" s="32"/>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36"/>
      <c r="B209" s="11"/>
      <c r="C209" s="11"/>
      <c r="D209" s="32"/>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36"/>
      <c r="B210" s="11"/>
      <c r="C210" s="11"/>
      <c r="D210" s="32"/>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36"/>
      <c r="B211" s="11"/>
      <c r="C211" s="11"/>
      <c r="D211" s="32"/>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36"/>
      <c r="B212" s="11"/>
      <c r="C212" s="11"/>
      <c r="D212" s="32"/>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36"/>
      <c r="B213" s="11"/>
      <c r="C213" s="11"/>
      <c r="D213" s="32"/>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36"/>
      <c r="B214" s="11"/>
      <c r="C214" s="11"/>
      <c r="D214" s="32"/>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36"/>
      <c r="B215" s="11"/>
      <c r="C215" s="11"/>
      <c r="D215" s="32"/>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36"/>
      <c r="B216" s="11"/>
      <c r="C216" s="11"/>
      <c r="D216" s="32"/>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36"/>
      <c r="B217" s="11"/>
      <c r="C217" s="11"/>
      <c r="D217" s="32"/>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36"/>
      <c r="B218" s="11"/>
      <c r="C218" s="11"/>
      <c r="D218" s="32"/>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36"/>
      <c r="B219" s="11"/>
      <c r="C219" s="11"/>
      <c r="D219" s="32"/>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36"/>
      <c r="B220" s="11"/>
      <c r="C220" s="11"/>
      <c r="D220" s="32"/>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36"/>
      <c r="B221" s="11"/>
      <c r="C221" s="11"/>
      <c r="D221" s="32"/>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36"/>
      <c r="B222" s="11"/>
      <c r="C222" s="11"/>
      <c r="D222" s="32"/>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36"/>
      <c r="B223" s="11"/>
      <c r="C223" s="11"/>
      <c r="D223" s="32"/>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36"/>
      <c r="B224" s="11"/>
      <c r="C224" s="11"/>
      <c r="D224" s="32"/>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36"/>
      <c r="B225" s="11"/>
      <c r="C225" s="11"/>
      <c r="D225" s="32"/>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36"/>
      <c r="B226" s="11"/>
      <c r="C226" s="11"/>
      <c r="D226" s="32"/>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36"/>
      <c r="B227" s="11"/>
      <c r="C227" s="11"/>
      <c r="D227" s="32"/>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36"/>
      <c r="B228" s="11"/>
      <c r="C228" s="11"/>
      <c r="D228" s="32"/>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36"/>
      <c r="B229" s="11"/>
      <c r="C229" s="11"/>
      <c r="D229" s="32"/>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36"/>
      <c r="B230" s="11"/>
      <c r="C230" s="11"/>
      <c r="D230" s="32"/>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36"/>
      <c r="B231" s="11"/>
      <c r="C231" s="11"/>
      <c r="D231" s="32"/>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36"/>
      <c r="B232" s="11"/>
      <c r="C232" s="11"/>
      <c r="D232" s="32"/>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36"/>
      <c r="B233" s="11"/>
      <c r="C233" s="11"/>
      <c r="D233" s="32"/>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36"/>
      <c r="B234" s="11"/>
      <c r="C234" s="11"/>
      <c r="D234" s="32"/>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36"/>
      <c r="B235" s="11"/>
      <c r="C235" s="11"/>
      <c r="D235" s="32"/>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36"/>
      <c r="B236" s="11"/>
      <c r="C236" s="11"/>
      <c r="D236" s="32"/>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36"/>
      <c r="B237" s="11"/>
      <c r="C237" s="11"/>
      <c r="D237" s="32"/>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36"/>
      <c r="B238" s="11"/>
      <c r="C238" s="11"/>
      <c r="D238" s="32"/>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36"/>
      <c r="B239" s="11"/>
      <c r="C239" s="11"/>
      <c r="D239" s="32"/>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36"/>
      <c r="B240" s="11"/>
      <c r="C240" s="11"/>
      <c r="D240" s="32"/>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36"/>
      <c r="B241" s="11"/>
      <c r="C241" s="11"/>
      <c r="D241" s="32"/>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36"/>
      <c r="B242" s="11"/>
      <c r="C242" s="11"/>
      <c r="D242" s="32"/>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36"/>
      <c r="B243" s="11"/>
      <c r="C243" s="11"/>
      <c r="D243" s="32"/>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36"/>
      <c r="B244" s="11"/>
      <c r="C244" s="11"/>
      <c r="D244" s="32"/>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36"/>
      <c r="B245" s="11"/>
      <c r="C245" s="11"/>
      <c r="D245" s="32"/>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36"/>
      <c r="B246" s="11"/>
      <c r="C246" s="11"/>
      <c r="D246" s="32"/>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36"/>
      <c r="B247" s="11"/>
      <c r="C247" s="11"/>
      <c r="D247" s="32"/>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36"/>
      <c r="B248" s="11"/>
      <c r="C248" s="11"/>
      <c r="D248" s="32"/>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36"/>
      <c r="B249" s="11"/>
      <c r="C249" s="11"/>
      <c r="D249" s="32"/>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36"/>
      <c r="B250" s="11"/>
      <c r="C250" s="11"/>
      <c r="D250" s="32"/>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36"/>
      <c r="B251" s="11"/>
      <c r="C251" s="11"/>
      <c r="D251" s="32"/>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36"/>
      <c r="B252" s="11"/>
      <c r="C252" s="11"/>
      <c r="D252" s="32"/>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36"/>
      <c r="B253" s="11"/>
      <c r="C253" s="11"/>
      <c r="D253" s="32"/>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36"/>
      <c r="B254" s="11"/>
      <c r="C254" s="11"/>
      <c r="D254" s="32"/>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D1"/>
    <mergeCell ref="F1:L1"/>
    <mergeCell ref="H3:L3"/>
    <mergeCell ref="A11:C11"/>
    <mergeCell ref="F2:L2"/>
    <mergeCell ref="A21:C21"/>
    <mergeCell ref="A53:C53"/>
    <mergeCell ref="A2:D2"/>
    <mergeCell ref="A4:C4"/>
    <mergeCell ref="A43:C43"/>
  </mergeCells>
  <printOptions headings="0" gridLines="0"/>
  <pageMargins left="0.70000000000000007" right="0.70000000000000007" top="1.143700787401575" bottom="1.143700787401575" header="0" footer="0"/>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2.630000000000001" defaultRowHeight="15" customHeight="1"/>
  <cols>
    <col customWidth="1" min="1" max="1" width="48.25"/>
    <col customWidth="1" min="2" max="2" width="15.5"/>
    <col customWidth="1" min="3" max="3" width="20.75"/>
    <col customWidth="1" min="4" max="6" width="8.1300000000000008"/>
    <col customWidth="1" min="7" max="25" width="8.6300000000000008"/>
  </cols>
  <sheetData>
    <row r="1" ht="13.5" customHeight="1">
      <c r="A1" s="38" t="s">
        <v>86</v>
      </c>
      <c r="B1" s="2"/>
      <c r="C1" s="3"/>
      <c r="D1" s="4"/>
      <c r="E1" s="4"/>
      <c r="F1" s="4"/>
      <c r="G1" s="4"/>
      <c r="H1" s="4"/>
      <c r="I1" s="4"/>
      <c r="J1" s="4"/>
      <c r="K1" s="4"/>
      <c r="L1" s="4"/>
      <c r="M1" s="4"/>
      <c r="N1" s="4"/>
      <c r="O1" s="4"/>
      <c r="P1" s="4"/>
      <c r="Q1" s="4"/>
      <c r="R1" s="4"/>
      <c r="S1" s="4"/>
      <c r="T1" s="4"/>
      <c r="U1" s="4"/>
      <c r="V1" s="4"/>
      <c r="W1" s="4"/>
      <c r="X1" s="4"/>
      <c r="Y1" s="4"/>
      <c r="Z1" s="4"/>
    </row>
    <row r="2" ht="7.5" customHeight="1">
      <c r="A2" s="4"/>
      <c r="B2" s="39"/>
      <c r="C2" s="4"/>
      <c r="D2" s="4"/>
      <c r="E2" s="4"/>
      <c r="F2" s="4"/>
      <c r="G2" s="4"/>
      <c r="H2" s="4"/>
      <c r="I2" s="4"/>
      <c r="J2" s="4"/>
      <c r="K2" s="4"/>
      <c r="L2" s="4"/>
      <c r="M2" s="4"/>
      <c r="N2" s="4"/>
      <c r="O2" s="4"/>
      <c r="P2" s="4"/>
      <c r="Q2" s="4"/>
      <c r="R2" s="4"/>
      <c r="S2" s="4"/>
      <c r="T2" s="4"/>
      <c r="U2" s="4"/>
      <c r="V2" s="4"/>
      <c r="W2" s="4"/>
      <c r="X2" s="4"/>
      <c r="Y2" s="4"/>
      <c r="Z2" s="4"/>
    </row>
    <row r="3" ht="13.5" customHeight="1">
      <c r="A3" s="40" t="s">
        <v>87</v>
      </c>
      <c r="B3" s="13"/>
      <c r="C3" s="13"/>
      <c r="D3" s="4"/>
      <c r="E3" s="4"/>
      <c r="F3" s="4"/>
      <c r="G3" s="4"/>
      <c r="H3" s="4"/>
      <c r="I3" s="4"/>
      <c r="J3" s="4"/>
      <c r="K3" s="4"/>
      <c r="L3" s="4"/>
      <c r="M3" s="4"/>
      <c r="N3" s="4"/>
      <c r="O3" s="4"/>
      <c r="P3" s="4"/>
      <c r="Q3" s="4"/>
      <c r="R3" s="4"/>
      <c r="S3" s="4"/>
      <c r="T3" s="4"/>
      <c r="U3" s="4"/>
      <c r="V3" s="4"/>
      <c r="W3" s="4"/>
      <c r="X3" s="4"/>
      <c r="Y3" s="4"/>
      <c r="Z3" s="4"/>
    </row>
    <row r="4" ht="13.5" customHeight="1">
      <c r="A4" s="41" t="s">
        <v>88</v>
      </c>
      <c r="B4" s="42">
        <f>Backlog_Produto!$D$54</f>
        <v>240</v>
      </c>
      <c r="C4" s="41" t="s">
        <v>89</v>
      </c>
      <c r="D4" s="4"/>
      <c r="E4" s="4"/>
      <c r="F4" s="4"/>
      <c r="G4" s="4"/>
      <c r="H4" s="4"/>
      <c r="I4" s="4"/>
      <c r="J4" s="4"/>
      <c r="K4" s="4"/>
      <c r="L4" s="4"/>
      <c r="M4" s="4"/>
      <c r="N4" s="4"/>
      <c r="O4" s="4"/>
      <c r="P4" s="4"/>
      <c r="Q4" s="4"/>
      <c r="R4" s="4"/>
      <c r="S4" s="4"/>
      <c r="T4" s="4"/>
      <c r="U4" s="4"/>
      <c r="V4" s="4"/>
      <c r="W4" s="4"/>
      <c r="X4" s="4"/>
      <c r="Y4" s="4"/>
      <c r="Z4" s="4"/>
    </row>
    <row r="5" ht="13.5" customHeight="1">
      <c r="A5" s="43" t="s">
        <v>90</v>
      </c>
      <c r="B5" s="44">
        <v>0.40000000000000002</v>
      </c>
      <c r="C5" s="43" t="s">
        <v>91</v>
      </c>
      <c r="D5" s="4"/>
      <c r="E5" s="4" t="s">
        <v>92</v>
      </c>
      <c r="F5" s="4"/>
      <c r="G5" s="4"/>
      <c r="H5" s="4"/>
      <c r="I5" s="4"/>
      <c r="J5" s="4"/>
      <c r="K5" s="4"/>
      <c r="L5" s="4"/>
      <c r="M5" s="4"/>
      <c r="N5" s="4"/>
      <c r="O5" s="4"/>
      <c r="P5" s="4"/>
      <c r="Q5" s="4"/>
      <c r="R5" s="4"/>
      <c r="S5" s="4"/>
      <c r="T5" s="4"/>
      <c r="U5" s="4"/>
      <c r="V5" s="4"/>
      <c r="W5" s="4"/>
      <c r="X5" s="4"/>
      <c r="Y5" s="4"/>
      <c r="Z5" s="4"/>
    </row>
    <row r="6" ht="13.5" customHeight="1">
      <c r="A6" s="45" t="s">
        <v>93</v>
      </c>
      <c r="B6" s="46">
        <v>4</v>
      </c>
      <c r="C6" s="45"/>
      <c r="D6" s="4"/>
      <c r="E6" s="4"/>
      <c r="F6" s="4"/>
      <c r="G6" s="4"/>
      <c r="H6" s="4"/>
      <c r="I6" s="4"/>
      <c r="J6" s="4"/>
      <c r="K6" s="4"/>
      <c r="L6" s="4"/>
      <c r="M6" s="4"/>
      <c r="N6" s="4"/>
      <c r="O6" s="4"/>
      <c r="P6" s="4"/>
      <c r="Q6" s="4"/>
      <c r="R6" s="4"/>
      <c r="S6" s="4"/>
      <c r="T6" s="4"/>
      <c r="U6" s="4"/>
      <c r="V6" s="4"/>
      <c r="W6" s="4"/>
      <c r="X6" s="4"/>
      <c r="Y6" s="4"/>
      <c r="Z6" s="4"/>
    </row>
    <row r="7" ht="13.5" customHeight="1">
      <c r="A7" s="45" t="s">
        <v>94</v>
      </c>
      <c r="B7" s="46">
        <v>9</v>
      </c>
      <c r="C7" s="45" t="s">
        <v>89</v>
      </c>
      <c r="D7" s="4"/>
      <c r="E7" s="4"/>
      <c r="F7" s="4"/>
      <c r="G7" s="4"/>
      <c r="H7" s="4"/>
      <c r="I7" s="4"/>
      <c r="J7" s="4"/>
      <c r="K7" s="4"/>
      <c r="L7" s="4"/>
      <c r="M7" s="4"/>
      <c r="N7" s="4"/>
      <c r="O7" s="4"/>
      <c r="P7" s="4"/>
      <c r="Q7" s="4"/>
      <c r="R7" s="4"/>
      <c r="S7" s="4"/>
      <c r="T7" s="4"/>
      <c r="U7" s="4"/>
      <c r="V7" s="4"/>
      <c r="W7" s="4"/>
      <c r="X7" s="4"/>
      <c r="Y7" s="4"/>
      <c r="Z7" s="4"/>
    </row>
    <row r="8" ht="13.5" customHeight="1">
      <c r="A8" s="45" t="s">
        <v>95</v>
      </c>
      <c r="B8" s="47">
        <f>B6*B7*2</f>
        <v>72</v>
      </c>
      <c r="C8" s="45" t="s">
        <v>89</v>
      </c>
      <c r="D8" s="4"/>
      <c r="E8" s="4"/>
      <c r="F8" s="4"/>
      <c r="G8" s="4"/>
      <c r="H8" s="4"/>
      <c r="I8" s="4"/>
      <c r="J8" s="4"/>
      <c r="K8" s="4"/>
      <c r="L8" s="4"/>
      <c r="M8" s="4"/>
      <c r="N8" s="4"/>
      <c r="O8" s="4"/>
      <c r="P8" s="4"/>
      <c r="Q8" s="4"/>
      <c r="R8" s="4"/>
      <c r="S8" s="4"/>
      <c r="T8" s="4"/>
      <c r="U8" s="4"/>
      <c r="V8" s="4"/>
      <c r="W8" s="4"/>
      <c r="X8" s="4"/>
      <c r="Y8" s="4"/>
      <c r="Z8" s="4"/>
    </row>
    <row r="9" ht="13.5" customHeight="1">
      <c r="A9" s="48" t="s">
        <v>96</v>
      </c>
      <c r="B9" s="49">
        <f>B11/2</f>
        <v>4.666666666666667</v>
      </c>
      <c r="C9" s="48" t="s">
        <v>97</v>
      </c>
      <c r="D9" s="4"/>
      <c r="E9" s="4"/>
      <c r="F9" s="4"/>
      <c r="G9" s="4"/>
      <c r="H9" s="4"/>
      <c r="I9" s="4"/>
      <c r="J9" s="4"/>
      <c r="K9" s="4"/>
      <c r="L9" s="4"/>
      <c r="M9" s="4"/>
      <c r="N9" s="4"/>
      <c r="O9" s="4"/>
      <c r="P9" s="4"/>
      <c r="Q9" s="4"/>
      <c r="R9" s="4"/>
      <c r="S9" s="4"/>
      <c r="T9" s="4"/>
      <c r="U9" s="4"/>
      <c r="V9" s="4"/>
      <c r="W9" s="4"/>
      <c r="X9" s="4"/>
      <c r="Y9" s="4"/>
      <c r="Z9" s="4"/>
    </row>
    <row r="10" ht="13.5" customHeight="1">
      <c r="A10" s="50" t="s">
        <v>98</v>
      </c>
      <c r="B10" s="49">
        <f>B4+(B4*B5)</f>
        <v>336</v>
      </c>
      <c r="C10" s="50" t="s">
        <v>89</v>
      </c>
      <c r="D10" s="4"/>
      <c r="E10" s="4"/>
      <c r="F10" s="4"/>
      <c r="G10" s="4"/>
      <c r="H10" s="4"/>
      <c r="I10" s="4"/>
      <c r="J10" s="4"/>
      <c r="K10" s="4"/>
      <c r="L10" s="4"/>
      <c r="M10" s="4"/>
      <c r="N10" s="4"/>
      <c r="O10" s="4"/>
      <c r="P10" s="4"/>
      <c r="Q10" s="4"/>
      <c r="R10" s="4"/>
      <c r="S10" s="4"/>
      <c r="T10" s="4"/>
      <c r="U10" s="4"/>
      <c r="V10" s="4"/>
      <c r="W10" s="4"/>
      <c r="X10" s="4"/>
      <c r="Y10" s="4"/>
      <c r="Z10" s="4"/>
    </row>
    <row r="11" ht="13.5" customHeight="1">
      <c r="A11" s="45" t="s">
        <v>99</v>
      </c>
      <c r="B11" s="47">
        <f>B10/B8*2</f>
        <v>9.3333333333333339</v>
      </c>
      <c r="C11" s="45" t="s">
        <v>100</v>
      </c>
      <c r="D11" s="4"/>
      <c r="E11" s="4"/>
      <c r="F11" s="4"/>
      <c r="G11" s="4"/>
      <c r="H11" s="4"/>
      <c r="I11" s="4"/>
      <c r="J11" s="4"/>
      <c r="K11" s="4"/>
      <c r="L11" s="4"/>
      <c r="M11" s="4"/>
      <c r="N11" s="4"/>
      <c r="O11" s="4"/>
      <c r="P11" s="4"/>
      <c r="Q11" s="4"/>
      <c r="R11" s="4"/>
      <c r="S11" s="4"/>
      <c r="T11" s="4"/>
      <c r="U11" s="4"/>
      <c r="V11" s="4"/>
      <c r="W11" s="4"/>
      <c r="X11" s="4"/>
      <c r="Y11" s="4"/>
      <c r="Z11" s="4"/>
    </row>
    <row r="12" ht="13.5" customHeight="1">
      <c r="A12" s="41" t="s">
        <v>101</v>
      </c>
      <c r="B12" s="51">
        <f>B11/4</f>
        <v>2.3333333333333335</v>
      </c>
      <c r="C12" s="41" t="s">
        <v>102</v>
      </c>
      <c r="D12" s="4"/>
      <c r="E12" s="4"/>
      <c r="F12" s="4"/>
      <c r="G12" s="4"/>
      <c r="H12" s="4"/>
      <c r="I12" s="4"/>
      <c r="J12" s="4"/>
      <c r="K12" s="4"/>
      <c r="L12" s="4"/>
      <c r="M12" s="4"/>
      <c r="N12" s="4"/>
      <c r="O12" s="4"/>
      <c r="P12" s="4"/>
      <c r="Q12" s="4"/>
      <c r="R12" s="4"/>
      <c r="S12" s="4"/>
      <c r="T12" s="4"/>
      <c r="U12" s="4"/>
      <c r="V12" s="4"/>
      <c r="W12" s="4"/>
      <c r="X12" s="4"/>
      <c r="Y12" s="4"/>
      <c r="Z12" s="4"/>
    </row>
    <row r="13" ht="13.5" customHeight="1">
      <c r="A13" s="4"/>
      <c r="B13" s="39"/>
      <c r="C13" s="4"/>
      <c r="D13" s="4"/>
      <c r="E13" s="4"/>
      <c r="F13" s="4"/>
      <c r="G13" s="4"/>
      <c r="H13" s="4"/>
      <c r="I13" s="4"/>
      <c r="J13" s="4"/>
      <c r="K13" s="4"/>
      <c r="L13" s="4"/>
      <c r="M13" s="4"/>
      <c r="N13" s="4"/>
      <c r="O13" s="4"/>
      <c r="P13" s="4"/>
      <c r="Q13" s="4"/>
      <c r="R13" s="4"/>
      <c r="S13" s="4"/>
      <c r="T13" s="4"/>
      <c r="U13" s="4"/>
      <c r="V13" s="4"/>
      <c r="W13" s="4"/>
      <c r="X13" s="4"/>
      <c r="Y13" s="4"/>
      <c r="Z13" s="4"/>
    </row>
    <row r="14" ht="13.5" customHeight="1">
      <c r="A14" s="40" t="s">
        <v>103</v>
      </c>
      <c r="B14" s="13"/>
      <c r="C14" s="13"/>
      <c r="D14" s="4"/>
      <c r="E14" s="4"/>
      <c r="F14" s="4"/>
      <c r="G14" s="4"/>
      <c r="H14" s="4"/>
      <c r="I14" s="4"/>
      <c r="J14" s="4"/>
      <c r="K14" s="4"/>
      <c r="L14" s="4"/>
      <c r="M14" s="4"/>
      <c r="N14" s="4"/>
      <c r="O14" s="4"/>
      <c r="P14" s="4"/>
      <c r="Q14" s="4"/>
      <c r="R14" s="4"/>
      <c r="S14" s="4"/>
      <c r="T14" s="4"/>
      <c r="U14" s="4"/>
      <c r="V14" s="4"/>
      <c r="W14" s="4"/>
      <c r="X14" s="4"/>
      <c r="Y14" s="4"/>
      <c r="Z14" s="4"/>
    </row>
    <row r="15" ht="13.5" customHeight="1">
      <c r="A15" s="45" t="s">
        <v>104</v>
      </c>
      <c r="B15" s="52">
        <v>25</v>
      </c>
      <c r="C15" s="53"/>
      <c r="D15" s="4"/>
      <c r="E15" s="4"/>
      <c r="F15" s="4"/>
      <c r="G15" s="4"/>
      <c r="H15" s="4"/>
      <c r="I15" s="4"/>
      <c r="J15" s="4"/>
      <c r="K15" s="4"/>
      <c r="L15" s="4"/>
      <c r="M15" s="4"/>
      <c r="N15" s="4"/>
      <c r="O15" s="4"/>
      <c r="P15" s="4"/>
      <c r="Q15" s="4"/>
      <c r="R15" s="4"/>
      <c r="S15" s="4"/>
      <c r="T15" s="4"/>
      <c r="U15" s="4"/>
      <c r="V15" s="4"/>
      <c r="W15" s="4"/>
      <c r="X15" s="4"/>
      <c r="Y15" s="4"/>
      <c r="Z15" s="4"/>
    </row>
    <row r="16" ht="13.5" customHeight="1">
      <c r="A16" s="45" t="s">
        <v>105</v>
      </c>
      <c r="B16" s="54">
        <f>B10*B15</f>
        <v>8400</v>
      </c>
      <c r="C16" s="53"/>
      <c r="D16" s="4"/>
      <c r="E16" s="4"/>
      <c r="F16" s="4"/>
      <c r="G16" s="4"/>
      <c r="H16" s="4"/>
      <c r="I16" s="4"/>
      <c r="J16" s="4"/>
      <c r="K16" s="4"/>
      <c r="L16" s="4"/>
      <c r="M16" s="4"/>
      <c r="N16" s="4"/>
      <c r="O16" s="4"/>
      <c r="P16" s="4"/>
      <c r="Q16" s="4"/>
      <c r="R16" s="4"/>
      <c r="S16" s="4"/>
      <c r="T16" s="4"/>
      <c r="U16" s="4"/>
      <c r="V16" s="4"/>
      <c r="W16" s="4"/>
      <c r="X16" s="4"/>
      <c r="Y16" s="4"/>
      <c r="Z16" s="4"/>
    </row>
    <row r="17" ht="13.5" customHeight="1">
      <c r="A17" s="45" t="s">
        <v>106</v>
      </c>
      <c r="B17" s="44">
        <v>0.20000000000000001</v>
      </c>
      <c r="C17" s="53"/>
      <c r="D17" s="4"/>
      <c r="E17" s="4"/>
      <c r="F17" s="4"/>
      <c r="G17" s="4"/>
      <c r="H17" s="4"/>
      <c r="I17" s="4"/>
      <c r="J17" s="4"/>
      <c r="K17" s="4"/>
      <c r="L17" s="4"/>
      <c r="M17" s="4"/>
      <c r="N17" s="4"/>
      <c r="O17" s="4"/>
      <c r="P17" s="4"/>
      <c r="Q17" s="4"/>
      <c r="R17" s="4"/>
      <c r="S17" s="4"/>
      <c r="T17" s="4"/>
      <c r="U17" s="4"/>
      <c r="V17" s="4"/>
      <c r="W17" s="4"/>
      <c r="X17" s="4"/>
      <c r="Y17" s="4"/>
      <c r="Z17" s="4"/>
    </row>
    <row r="18" ht="13.5" customHeight="1">
      <c r="A18" s="45" t="s">
        <v>107</v>
      </c>
      <c r="B18" s="54">
        <f>B16*B17</f>
        <v>1680</v>
      </c>
      <c r="C18" s="53"/>
      <c r="D18" s="4"/>
      <c r="E18" s="4"/>
      <c r="F18" s="4"/>
      <c r="G18" s="4"/>
      <c r="H18" s="4"/>
      <c r="I18" s="4"/>
      <c r="J18" s="4"/>
      <c r="K18" s="4"/>
      <c r="L18" s="4"/>
      <c r="M18" s="4"/>
      <c r="N18" s="4"/>
      <c r="O18" s="4"/>
      <c r="P18" s="4"/>
      <c r="Q18" s="4"/>
      <c r="R18" s="4"/>
      <c r="S18" s="4"/>
      <c r="T18" s="4"/>
      <c r="U18" s="4"/>
      <c r="V18" s="4"/>
      <c r="W18" s="4"/>
      <c r="X18" s="4"/>
      <c r="Y18" s="4"/>
      <c r="Z18" s="4"/>
    </row>
    <row r="19" ht="13.5" customHeight="1">
      <c r="A19" s="55" t="s">
        <v>108</v>
      </c>
      <c r="B19" s="56">
        <f>B16+B18</f>
        <v>10080</v>
      </c>
      <c r="C19" s="53"/>
      <c r="D19" s="4"/>
      <c r="E19" s="4"/>
      <c r="F19" s="4"/>
      <c r="G19" s="4"/>
      <c r="H19" s="4"/>
      <c r="I19" s="4"/>
      <c r="J19" s="4"/>
      <c r="K19" s="4"/>
      <c r="L19" s="4"/>
      <c r="M19" s="4"/>
      <c r="N19" s="4"/>
      <c r="O19" s="4"/>
      <c r="P19" s="4"/>
      <c r="Q19" s="4"/>
      <c r="R19" s="4"/>
      <c r="S19" s="4"/>
      <c r="T19" s="4"/>
      <c r="U19" s="4"/>
      <c r="V19" s="4"/>
      <c r="W19" s="4"/>
      <c r="X19" s="4"/>
      <c r="Y19" s="4"/>
      <c r="Z19" s="4"/>
    </row>
    <row r="20" ht="13.5" customHeight="1">
      <c r="A20" s="45" t="s">
        <v>109</v>
      </c>
      <c r="B20" s="44">
        <v>0.20000000000000001</v>
      </c>
      <c r="C20" s="53"/>
      <c r="D20" s="4"/>
      <c r="E20" s="4"/>
      <c r="F20" s="4"/>
      <c r="G20" s="4"/>
      <c r="H20" s="4"/>
      <c r="I20" s="4"/>
      <c r="J20" s="4"/>
      <c r="K20" s="4"/>
      <c r="L20" s="4"/>
      <c r="M20" s="4"/>
      <c r="N20" s="4"/>
      <c r="O20" s="4"/>
      <c r="P20" s="4"/>
      <c r="Q20" s="4"/>
      <c r="R20" s="4"/>
      <c r="S20" s="4"/>
      <c r="T20" s="4"/>
      <c r="U20" s="4"/>
      <c r="V20" s="4"/>
      <c r="W20" s="4"/>
      <c r="X20" s="4"/>
      <c r="Y20" s="4"/>
      <c r="Z20" s="4"/>
    </row>
    <row r="21" ht="13.5" customHeight="1">
      <c r="A21" s="45" t="s">
        <v>110</v>
      </c>
      <c r="B21" s="57">
        <f>B19*B20</f>
        <v>2016</v>
      </c>
      <c r="C21" s="53"/>
      <c r="D21" s="4"/>
      <c r="E21" s="4"/>
      <c r="F21" s="4"/>
      <c r="G21" s="4"/>
      <c r="H21" s="4"/>
      <c r="I21" s="4"/>
      <c r="J21" s="4"/>
      <c r="K21" s="4"/>
      <c r="L21" s="4"/>
      <c r="M21" s="4"/>
      <c r="N21" s="4"/>
      <c r="O21" s="4"/>
      <c r="P21" s="4"/>
      <c r="Q21" s="4"/>
      <c r="R21" s="4"/>
      <c r="S21" s="4"/>
      <c r="T21" s="4"/>
      <c r="U21" s="4"/>
      <c r="V21" s="4"/>
      <c r="W21" s="4"/>
      <c r="X21" s="4"/>
      <c r="Y21" s="4"/>
      <c r="Z21" s="4"/>
    </row>
    <row r="22" ht="13.5" customHeight="1">
      <c r="A22" s="55" t="s">
        <v>111</v>
      </c>
      <c r="B22" s="56">
        <f>B19+B21</f>
        <v>12096</v>
      </c>
      <c r="C22" s="53"/>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39"/>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39"/>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39"/>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39"/>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39"/>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39"/>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39"/>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39"/>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39"/>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39"/>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39"/>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39"/>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39"/>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39"/>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39"/>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39"/>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39"/>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39"/>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39"/>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39"/>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39"/>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39"/>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39"/>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39"/>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39"/>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39"/>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39"/>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39"/>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39"/>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39"/>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39"/>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39"/>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39"/>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39"/>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39"/>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39"/>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39"/>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39"/>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39"/>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39"/>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39"/>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39"/>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39"/>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39"/>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39"/>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39"/>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39"/>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39"/>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39"/>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39"/>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39"/>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39"/>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39"/>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39"/>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39"/>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39"/>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39"/>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39"/>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39"/>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39"/>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39"/>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39"/>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39"/>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39"/>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39"/>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39"/>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39"/>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39"/>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39"/>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39"/>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39"/>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39"/>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39"/>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39"/>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39"/>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39"/>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39"/>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39"/>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39"/>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39"/>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39"/>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39"/>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39"/>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39"/>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39"/>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39"/>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39"/>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39"/>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39"/>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39"/>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39"/>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39"/>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39"/>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39"/>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39"/>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39"/>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39"/>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39"/>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39"/>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39"/>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39"/>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39"/>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39"/>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39"/>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39"/>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39"/>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39"/>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39"/>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39"/>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39"/>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39"/>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39"/>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39"/>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39"/>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39"/>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39"/>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39"/>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39"/>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39"/>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39"/>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39"/>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39"/>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39"/>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39"/>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39"/>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39"/>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39"/>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39"/>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39"/>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39"/>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39"/>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39"/>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39"/>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39"/>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39"/>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39"/>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39"/>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39"/>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39"/>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39"/>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39"/>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39"/>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39"/>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39"/>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39"/>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39"/>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39"/>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39"/>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39"/>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39"/>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39"/>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39"/>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39"/>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39"/>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39"/>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39"/>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39"/>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39"/>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39"/>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39"/>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39"/>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39"/>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39"/>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39"/>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39"/>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39"/>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39"/>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39"/>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39"/>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39"/>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39"/>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39"/>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39"/>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39"/>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39"/>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39"/>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39"/>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39"/>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39"/>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39"/>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39"/>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39"/>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39"/>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39"/>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39"/>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39"/>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39"/>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39"/>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39"/>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39"/>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39"/>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39"/>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39"/>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39"/>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39"/>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39"/>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39"/>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39"/>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39"/>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39"/>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14:C14"/>
  </mergeCells>
  <printOptions headings="0" gridLines="0"/>
  <pageMargins left="0.51181102362204689" right="0.51181102362204689" top="1.181102362204725" bottom="1.181102362204725" header="0" footer="0"/>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2.630000000000001" defaultRowHeight="15" customHeight="1"/>
  <cols>
    <col customWidth="1" min="1" max="1" width="6.1299999999999999"/>
    <col customWidth="1" min="2" max="2" width="45.25"/>
    <col customWidth="1" min="3" max="3" width="13.880000000000001"/>
    <col customWidth="1" min="4" max="6" width="13.130000000000001"/>
    <col customWidth="1" min="7" max="10" width="13"/>
    <col customWidth="1" min="11" max="11" width="14.75"/>
    <col customWidth="1" min="12" max="26" width="8.6300000000000008"/>
  </cols>
  <sheetData>
    <row r="1" ht="11.25" customHeight="1">
      <c r="A1" s="58" t="s">
        <v>112</v>
      </c>
      <c r="B1" s="13"/>
      <c r="C1" s="13"/>
      <c r="D1" s="13"/>
      <c r="E1" s="13"/>
      <c r="F1" s="13"/>
      <c r="G1" s="13"/>
      <c r="H1" s="13"/>
      <c r="I1" s="13"/>
      <c r="J1" s="13"/>
      <c r="K1" s="13"/>
      <c r="L1" s="11"/>
      <c r="M1" s="11"/>
      <c r="N1" s="11"/>
      <c r="O1" s="11"/>
      <c r="P1" s="11"/>
      <c r="Q1" s="11"/>
      <c r="R1" s="11"/>
      <c r="S1" s="11"/>
      <c r="T1" s="11"/>
      <c r="U1" s="11"/>
      <c r="V1" s="11"/>
      <c r="W1" s="11"/>
      <c r="X1" s="11"/>
      <c r="Y1" s="11"/>
      <c r="Z1" s="11"/>
    </row>
    <row r="2" ht="11.25" customHeight="1">
      <c r="A2" s="59" t="s">
        <v>113</v>
      </c>
      <c r="B2" s="2"/>
      <c r="C2" s="2"/>
      <c r="D2" s="3"/>
      <c r="E2" s="59">
        <f>Planejamento!$B$10</f>
        <v>336</v>
      </c>
      <c r="F2" s="60"/>
      <c r="G2" s="59" t="s">
        <v>113</v>
      </c>
      <c r="H2" s="2"/>
      <c r="I2" s="2"/>
      <c r="J2" s="3"/>
      <c r="K2" s="59"/>
      <c r="L2" s="11"/>
      <c r="M2" s="11"/>
      <c r="N2" s="11"/>
      <c r="O2" s="11"/>
      <c r="P2" s="11"/>
      <c r="Q2" s="11"/>
      <c r="R2" s="11"/>
      <c r="S2" s="11"/>
      <c r="T2" s="11"/>
      <c r="U2" s="11"/>
      <c r="V2" s="11"/>
      <c r="W2" s="11"/>
      <c r="X2" s="11"/>
      <c r="Y2" s="11"/>
      <c r="Z2" s="11"/>
    </row>
    <row r="3" ht="11.25" customHeight="1">
      <c r="A3" s="61"/>
      <c r="B3" s="62"/>
      <c r="C3" s="63" t="s">
        <v>114</v>
      </c>
      <c r="D3" s="2"/>
      <c r="E3" s="3"/>
      <c r="F3" s="64"/>
      <c r="G3" s="65" t="s">
        <v>115</v>
      </c>
      <c r="H3" s="2"/>
      <c r="I3" s="3"/>
      <c r="J3" s="66"/>
      <c r="K3" s="67"/>
      <c r="L3" s="11"/>
      <c r="M3" s="11"/>
      <c r="N3" s="11"/>
      <c r="O3" s="11"/>
      <c r="P3" s="11"/>
      <c r="Q3" s="11"/>
      <c r="R3" s="11"/>
      <c r="S3" s="11"/>
      <c r="T3" s="11"/>
      <c r="U3" s="11"/>
      <c r="V3" s="11"/>
      <c r="W3" s="11"/>
      <c r="X3" s="11"/>
      <c r="Y3" s="11"/>
      <c r="Z3" s="11"/>
    </row>
    <row r="4" ht="11.25" customHeight="1">
      <c r="A4" s="65" t="s">
        <v>116</v>
      </c>
      <c r="B4" s="65" t="s">
        <v>117</v>
      </c>
      <c r="C4" s="65" t="s">
        <v>118</v>
      </c>
      <c r="D4" s="65" t="s">
        <v>119</v>
      </c>
      <c r="E4" s="65" t="s">
        <v>26</v>
      </c>
      <c r="F4" s="65" t="s">
        <v>120</v>
      </c>
      <c r="G4" s="65" t="s">
        <v>118</v>
      </c>
      <c r="H4" s="65" t="s">
        <v>121</v>
      </c>
      <c r="I4" s="65" t="s">
        <v>26</v>
      </c>
      <c r="J4" s="68" t="s">
        <v>122</v>
      </c>
      <c r="K4" s="65" t="s">
        <v>123</v>
      </c>
      <c r="L4" s="11"/>
      <c r="M4" s="11"/>
      <c r="N4" s="11"/>
      <c r="O4" s="11"/>
      <c r="P4" s="11"/>
      <c r="Q4" s="11"/>
      <c r="R4" s="11"/>
      <c r="S4" s="11"/>
      <c r="T4" s="11"/>
      <c r="U4" s="11"/>
      <c r="V4" s="11"/>
      <c r="W4" s="11"/>
      <c r="X4" s="11"/>
      <c r="Y4" s="11"/>
      <c r="Z4" s="11"/>
    </row>
    <row r="5" ht="11.25" customHeight="1">
      <c r="A5" s="69">
        <v>1</v>
      </c>
      <c r="B5" s="70" t="s">
        <v>124</v>
      </c>
      <c r="C5" s="71">
        <v>46085</v>
      </c>
      <c r="D5" s="71">
        <v>46113</v>
      </c>
      <c r="E5" s="72">
        <v>40</v>
      </c>
      <c r="F5" s="73" t="s">
        <v>125</v>
      </c>
      <c r="G5" s="71">
        <v>46085</v>
      </c>
      <c r="H5" s="74">
        <v>46113</v>
      </c>
      <c r="I5" s="75">
        <v>15</v>
      </c>
      <c r="J5" s="76">
        <f t="shared" ref="J5:J7" si="2">E5-I5</f>
        <v>25</v>
      </c>
      <c r="K5" s="77" t="s">
        <v>126</v>
      </c>
      <c r="L5" s="11"/>
      <c r="M5" s="11"/>
      <c r="N5" s="11"/>
      <c r="O5" s="11"/>
      <c r="P5" s="11"/>
      <c r="Q5" s="11"/>
      <c r="R5" s="11"/>
      <c r="S5" s="11"/>
      <c r="T5" s="11"/>
      <c r="U5" s="11"/>
      <c r="V5" s="11"/>
      <c r="W5" s="11"/>
      <c r="X5" s="11"/>
      <c r="Y5" s="11"/>
      <c r="Z5" s="11"/>
    </row>
    <row r="6" ht="27" customHeight="1">
      <c r="A6" s="69">
        <v>2</v>
      </c>
      <c r="B6" s="70" t="s">
        <v>127</v>
      </c>
      <c r="C6" s="78">
        <v>46113</v>
      </c>
      <c r="D6" s="78">
        <v>46127</v>
      </c>
      <c r="E6" s="72">
        <v>60</v>
      </c>
      <c r="F6" s="73" t="s">
        <v>125</v>
      </c>
      <c r="G6" s="79">
        <v>46124</v>
      </c>
      <c r="H6" s="80">
        <v>46135</v>
      </c>
      <c r="I6" s="75">
        <v>45</v>
      </c>
      <c r="J6" s="76">
        <f t="shared" si="2"/>
        <v>15</v>
      </c>
      <c r="K6" s="77" t="s">
        <v>128</v>
      </c>
      <c r="L6" s="11"/>
      <c r="M6" s="11"/>
      <c r="N6" s="11"/>
      <c r="O6" s="11"/>
      <c r="P6" s="11"/>
      <c r="Q6" s="11"/>
      <c r="R6" s="11"/>
      <c r="S6" s="11"/>
      <c r="T6" s="11"/>
      <c r="U6" s="11"/>
      <c r="V6" s="11"/>
      <c r="W6" s="11"/>
      <c r="X6" s="11"/>
      <c r="Y6" s="11"/>
      <c r="Z6" s="11"/>
    </row>
    <row r="7" ht="25.5" customHeight="1">
      <c r="A7" s="69">
        <v>3</v>
      </c>
      <c r="B7" s="70" t="s">
        <v>129</v>
      </c>
      <c r="C7" s="78">
        <v>46169</v>
      </c>
      <c r="D7" s="78">
        <v>46176</v>
      </c>
      <c r="E7" s="72">
        <v>50</v>
      </c>
      <c r="F7" s="73" t="s">
        <v>130</v>
      </c>
      <c r="G7" s="79">
        <v>46169</v>
      </c>
      <c r="H7" s="79">
        <v>46176</v>
      </c>
      <c r="I7" s="75">
        <v>50</v>
      </c>
      <c r="J7" s="76">
        <f t="shared" si="2"/>
        <v>0</v>
      </c>
      <c r="K7" s="77"/>
      <c r="L7" s="11"/>
      <c r="M7" s="11"/>
      <c r="N7" s="11"/>
      <c r="O7" s="11"/>
      <c r="P7" s="11"/>
      <c r="Q7" s="11"/>
      <c r="R7" s="11"/>
      <c r="S7" s="11"/>
      <c r="T7" s="11"/>
      <c r="U7" s="11"/>
      <c r="V7" s="11"/>
      <c r="W7" s="11"/>
      <c r="X7" s="11"/>
      <c r="Y7" s="11"/>
      <c r="Z7" s="11"/>
    </row>
    <row r="8" ht="11.25" customHeight="1">
      <c r="A8" s="69">
        <v>4</v>
      </c>
      <c r="B8" s="70" t="s">
        <v>131</v>
      </c>
      <c r="C8" s="78">
        <v>46141</v>
      </c>
      <c r="D8" s="78">
        <v>46155</v>
      </c>
      <c r="E8" s="72">
        <v>40</v>
      </c>
      <c r="F8" s="73" t="s">
        <v>132</v>
      </c>
      <c r="G8" s="80"/>
      <c r="H8" s="80"/>
      <c r="I8" s="75"/>
      <c r="J8" s="76"/>
      <c r="K8" s="77"/>
      <c r="L8" s="11"/>
      <c r="M8" s="11"/>
      <c r="N8" s="11"/>
      <c r="O8" s="11"/>
      <c r="P8" s="11"/>
      <c r="Q8" s="11"/>
      <c r="R8" s="11"/>
      <c r="S8" s="11"/>
      <c r="T8" s="11"/>
      <c r="U8" s="11"/>
      <c r="V8" s="11"/>
      <c r="W8" s="11"/>
      <c r="X8" s="11"/>
      <c r="Y8" s="11"/>
      <c r="Z8" s="11"/>
    </row>
    <row r="9" ht="11.25" customHeight="1">
      <c r="A9" s="69">
        <v>5</v>
      </c>
      <c r="B9" s="81" t="s">
        <v>133</v>
      </c>
      <c r="C9" s="78">
        <v>46155</v>
      </c>
      <c r="D9" s="78">
        <v>46169</v>
      </c>
      <c r="E9" s="72">
        <v>50</v>
      </c>
      <c r="F9" s="73" t="s">
        <v>134</v>
      </c>
      <c r="G9" s="80"/>
      <c r="H9" s="80"/>
      <c r="I9" s="75"/>
      <c r="J9" s="76"/>
      <c r="K9" s="77"/>
      <c r="L9" s="11"/>
      <c r="M9" s="11"/>
      <c r="N9" s="11"/>
      <c r="O9" s="11"/>
      <c r="P9" s="11"/>
      <c r="Q9" s="11"/>
      <c r="R9" s="11"/>
      <c r="S9" s="11"/>
      <c r="T9" s="11"/>
      <c r="U9" s="11"/>
      <c r="V9" s="11"/>
      <c r="W9" s="11"/>
      <c r="X9" s="11"/>
      <c r="Y9" s="11"/>
      <c r="Z9" s="11"/>
    </row>
    <row r="10" ht="11.25" customHeight="1">
      <c r="A10" s="69">
        <v>6</v>
      </c>
      <c r="B10" s="81"/>
      <c r="C10" s="78"/>
      <c r="D10" s="78"/>
      <c r="E10" s="72"/>
      <c r="F10" s="73"/>
      <c r="G10" s="80"/>
      <c r="H10" s="80"/>
      <c r="I10" s="75"/>
      <c r="J10" s="76"/>
      <c r="K10" s="77"/>
      <c r="L10" s="11"/>
      <c r="M10" s="11"/>
      <c r="N10" s="11"/>
      <c r="O10" s="11"/>
      <c r="P10" s="11"/>
      <c r="Q10" s="11"/>
      <c r="R10" s="11"/>
      <c r="S10" s="11"/>
      <c r="T10" s="11"/>
      <c r="U10" s="11"/>
      <c r="V10" s="11"/>
      <c r="W10" s="11"/>
      <c r="X10" s="11"/>
      <c r="Y10" s="11"/>
      <c r="Z10" s="11"/>
    </row>
    <row r="11" ht="11.25" customHeight="1">
      <c r="A11" s="69">
        <v>7</v>
      </c>
      <c r="B11" s="82"/>
      <c r="C11" s="83"/>
      <c r="D11" s="83"/>
      <c r="E11" s="84"/>
      <c r="F11" s="85"/>
      <c r="G11" s="80"/>
      <c r="H11" s="80"/>
      <c r="I11" s="75"/>
      <c r="J11" s="76"/>
      <c r="K11" s="77"/>
      <c r="L11" s="11"/>
      <c r="M11" s="11"/>
      <c r="N11" s="11"/>
      <c r="O11" s="11"/>
      <c r="P11" s="11"/>
      <c r="Q11" s="11"/>
      <c r="R11" s="11"/>
      <c r="S11" s="11"/>
      <c r="T11" s="11"/>
      <c r="U11" s="11"/>
      <c r="V11" s="11"/>
      <c r="W11" s="11"/>
      <c r="X11" s="11"/>
      <c r="Y11" s="11"/>
      <c r="Z11" s="11"/>
    </row>
    <row r="12" ht="11.25" customHeight="1">
      <c r="A12" s="69">
        <v>8</v>
      </c>
      <c r="B12" s="70"/>
      <c r="C12" s="83"/>
      <c r="D12" s="83"/>
      <c r="E12" s="84"/>
      <c r="F12" s="85"/>
      <c r="G12" s="80"/>
      <c r="H12" s="80"/>
      <c r="I12" s="75"/>
      <c r="J12" s="76"/>
      <c r="K12" s="77"/>
      <c r="L12" s="11"/>
      <c r="M12" s="11"/>
      <c r="N12" s="11"/>
      <c r="O12" s="11"/>
      <c r="P12" s="11"/>
      <c r="Q12" s="11"/>
      <c r="R12" s="11"/>
      <c r="S12" s="11"/>
      <c r="T12" s="11"/>
      <c r="U12" s="11"/>
      <c r="V12" s="11"/>
      <c r="W12" s="11"/>
      <c r="X12" s="11"/>
      <c r="Y12" s="11"/>
      <c r="Z12" s="11"/>
    </row>
    <row r="13" ht="11.25" customHeight="1">
      <c r="A13" s="69">
        <v>9</v>
      </c>
      <c r="B13" s="82"/>
      <c r="C13" s="83"/>
      <c r="D13" s="83"/>
      <c r="E13" s="84"/>
      <c r="F13" s="85"/>
      <c r="G13" s="80"/>
      <c r="H13" s="80"/>
      <c r="I13" s="75"/>
      <c r="J13" s="76"/>
      <c r="K13" s="77"/>
      <c r="L13" s="11"/>
      <c r="M13" s="11"/>
      <c r="N13" s="11"/>
      <c r="O13" s="11"/>
      <c r="P13" s="11"/>
      <c r="Q13" s="11"/>
      <c r="R13" s="11"/>
      <c r="S13" s="11"/>
      <c r="T13" s="11"/>
      <c r="U13" s="11"/>
      <c r="V13" s="11"/>
      <c r="W13" s="11"/>
      <c r="X13" s="11"/>
      <c r="Y13" s="11"/>
      <c r="Z13" s="11"/>
    </row>
    <row r="14" ht="11.25" customHeight="1">
      <c r="A14" s="69">
        <v>10</v>
      </c>
      <c r="B14" s="82"/>
      <c r="C14" s="83"/>
      <c r="D14" s="83"/>
      <c r="E14" s="84"/>
      <c r="F14" s="85"/>
      <c r="G14" s="80"/>
      <c r="H14" s="80"/>
      <c r="I14" s="75"/>
      <c r="J14" s="76"/>
      <c r="K14" s="77"/>
      <c r="L14" s="11"/>
      <c r="M14" s="11"/>
      <c r="N14" s="11"/>
      <c r="O14" s="11"/>
      <c r="P14" s="11"/>
      <c r="Q14" s="11"/>
      <c r="R14" s="11"/>
      <c r="S14" s="11"/>
      <c r="T14" s="11"/>
      <c r="U14" s="11"/>
      <c r="V14" s="11"/>
      <c r="W14" s="11"/>
      <c r="X14" s="11"/>
      <c r="Y14" s="11"/>
      <c r="Z14" s="11"/>
    </row>
    <row r="15" ht="11.25" customHeight="1">
      <c r="A15" s="86"/>
      <c r="B15" s="87"/>
      <c r="C15" s="88"/>
      <c r="D15" s="87"/>
      <c r="E15" s="89">
        <f>SUM(E5:E14)</f>
        <v>240</v>
      </c>
      <c r="F15" s="87"/>
      <c r="G15" s="90"/>
      <c r="H15" s="90"/>
      <c r="I15" s="89">
        <f>SUM(I5:I14)</f>
        <v>110</v>
      </c>
      <c r="J15" s="91">
        <f>SUM(J5:J14)</f>
        <v>40</v>
      </c>
      <c r="K15" s="90"/>
      <c r="L15" s="11"/>
      <c r="M15" s="11"/>
      <c r="N15" s="11"/>
      <c r="O15" s="11"/>
      <c r="P15" s="11"/>
      <c r="Q15" s="11"/>
      <c r="R15" s="11"/>
      <c r="S15" s="11"/>
      <c r="T15" s="11"/>
      <c r="U15" s="11"/>
      <c r="V15" s="11"/>
      <c r="W15" s="11"/>
      <c r="X15" s="11"/>
      <c r="Y15" s="11"/>
      <c r="Z15" s="11"/>
    </row>
    <row r="16" ht="11.25" customHeight="1">
      <c r="A16" s="11"/>
      <c r="B16" s="11"/>
      <c r="C16" s="11"/>
      <c r="D16" s="11"/>
      <c r="E16" s="11"/>
      <c r="F16" s="11"/>
      <c r="G16" s="11"/>
      <c r="H16" s="11"/>
      <c r="I16" s="11"/>
      <c r="J16" s="36"/>
      <c r="K16" s="11"/>
      <c r="L16" s="11"/>
      <c r="M16" s="11"/>
      <c r="N16" s="11"/>
      <c r="O16" s="11"/>
      <c r="P16" s="11"/>
      <c r="Q16" s="11"/>
      <c r="R16" s="11"/>
      <c r="S16" s="11"/>
      <c r="T16" s="11"/>
      <c r="U16" s="11"/>
      <c r="V16" s="11"/>
      <c r="W16" s="11"/>
      <c r="X16" s="11"/>
      <c r="Y16" s="11"/>
      <c r="Z16" s="11"/>
    </row>
    <row r="17" ht="11.25" customHeight="1">
      <c r="A17" s="92"/>
      <c r="B17" s="11"/>
      <c r="C17" s="92"/>
      <c r="D17" s="11"/>
      <c r="E17" s="11"/>
      <c r="F17" s="11"/>
      <c r="G17" s="11"/>
      <c r="H17" s="11"/>
      <c r="I17" s="11"/>
      <c r="J17" s="36"/>
      <c r="K17" s="11"/>
      <c r="L17" s="11"/>
      <c r="M17" s="11"/>
      <c r="N17" s="11"/>
      <c r="O17" s="11"/>
      <c r="P17" s="11"/>
      <c r="Q17" s="11"/>
      <c r="R17" s="11"/>
      <c r="S17" s="11"/>
      <c r="T17" s="11"/>
      <c r="U17" s="11"/>
      <c r="V17" s="11"/>
      <c r="W17" s="11"/>
      <c r="X17" s="11"/>
      <c r="Y17" s="11"/>
      <c r="Z17" s="11"/>
    </row>
    <row r="18" ht="11.25" customHeight="1">
      <c r="A18" s="92"/>
      <c r="B18" s="11"/>
      <c r="C18" s="92"/>
      <c r="D18" s="11"/>
      <c r="E18" s="11"/>
      <c r="F18" s="11"/>
      <c r="G18" s="11"/>
      <c r="H18" s="11"/>
      <c r="I18" s="11"/>
      <c r="J18" s="36"/>
      <c r="K18" s="11"/>
      <c r="L18" s="11"/>
      <c r="M18" s="11"/>
      <c r="N18" s="11"/>
      <c r="O18" s="11"/>
      <c r="P18" s="11"/>
      <c r="Q18" s="11"/>
      <c r="R18" s="11"/>
      <c r="S18" s="11"/>
      <c r="T18" s="11"/>
      <c r="U18" s="11"/>
      <c r="V18" s="11"/>
      <c r="W18" s="11"/>
      <c r="X18" s="11"/>
      <c r="Y18" s="11"/>
      <c r="Z18" s="11"/>
    </row>
    <row r="19" ht="11.25" customHeight="1">
      <c r="A19" s="92"/>
      <c r="B19" s="11"/>
      <c r="C19" s="92"/>
      <c r="D19" s="11"/>
      <c r="E19" s="11"/>
      <c r="F19" s="11"/>
      <c r="G19" s="11"/>
      <c r="H19" s="11"/>
      <c r="I19" s="11"/>
      <c r="J19" s="36"/>
      <c r="K19" s="11"/>
      <c r="L19" s="11"/>
      <c r="M19" s="11"/>
      <c r="N19" s="11"/>
      <c r="O19" s="11"/>
      <c r="P19" s="11"/>
      <c r="Q19" s="11"/>
      <c r="R19" s="11"/>
      <c r="S19" s="11"/>
      <c r="T19" s="11"/>
      <c r="U19" s="11"/>
      <c r="V19" s="11"/>
      <c r="W19" s="11"/>
      <c r="X19" s="11"/>
      <c r="Y19" s="11"/>
      <c r="Z19" s="11"/>
    </row>
    <row r="20" ht="11.25" customHeight="1">
      <c r="A20" s="92"/>
      <c r="B20" s="11"/>
      <c r="C20" s="92"/>
      <c r="D20" s="11"/>
      <c r="E20" s="11"/>
      <c r="F20" s="11"/>
      <c r="G20" s="11"/>
      <c r="H20" s="11"/>
      <c r="I20" s="11"/>
      <c r="J20" s="36"/>
      <c r="K20" s="11"/>
      <c r="L20" s="11"/>
      <c r="M20" s="11"/>
      <c r="N20" s="11"/>
      <c r="O20" s="11"/>
      <c r="P20" s="11"/>
      <c r="Q20" s="11"/>
      <c r="R20" s="11"/>
      <c r="S20" s="11"/>
      <c r="T20" s="11"/>
      <c r="U20" s="11"/>
      <c r="V20" s="11"/>
      <c r="W20" s="11"/>
      <c r="X20" s="11"/>
      <c r="Y20" s="11"/>
      <c r="Z20" s="11"/>
    </row>
    <row r="21" ht="11.25" customHeight="1">
      <c r="A21" s="92"/>
      <c r="B21" s="11"/>
      <c r="C21" s="92"/>
      <c r="D21" s="11"/>
      <c r="E21" s="11"/>
      <c r="F21" s="11"/>
      <c r="G21" s="11"/>
      <c r="H21" s="11"/>
      <c r="I21" s="11"/>
      <c r="J21" s="36"/>
      <c r="K21" s="11"/>
      <c r="L21" s="11"/>
      <c r="M21" s="11"/>
      <c r="N21" s="11"/>
      <c r="O21" s="11"/>
      <c r="P21" s="11"/>
      <c r="Q21" s="11"/>
      <c r="R21" s="11"/>
      <c r="S21" s="11"/>
      <c r="T21" s="11"/>
      <c r="U21" s="11"/>
      <c r="V21" s="11"/>
      <c r="W21" s="11"/>
      <c r="X21" s="11"/>
      <c r="Y21" s="11"/>
      <c r="Z21" s="11"/>
    </row>
    <row r="22" ht="11.25" customHeight="1">
      <c r="A22" s="92"/>
      <c r="B22" s="11"/>
      <c r="C22" s="92"/>
      <c r="D22" s="11"/>
      <c r="E22" s="11"/>
      <c r="F22" s="11"/>
      <c r="G22" s="11"/>
      <c r="H22" s="11"/>
      <c r="I22" s="11"/>
      <c r="J22" s="36"/>
      <c r="K22" s="11"/>
      <c r="L22" s="11"/>
      <c r="M22" s="11"/>
      <c r="N22" s="11"/>
      <c r="O22" s="11"/>
      <c r="P22" s="11"/>
      <c r="Q22" s="11"/>
      <c r="R22" s="11"/>
      <c r="S22" s="11"/>
      <c r="T22" s="11"/>
      <c r="U22" s="11"/>
      <c r="V22" s="11"/>
      <c r="W22" s="11"/>
      <c r="X22" s="11"/>
      <c r="Y22" s="11"/>
      <c r="Z22" s="11"/>
    </row>
    <row r="23" ht="11.25" customHeight="1">
      <c r="A23" s="92"/>
      <c r="B23" s="11"/>
      <c r="C23" s="92"/>
      <c r="D23" s="11"/>
      <c r="E23" s="11"/>
      <c r="F23" s="11"/>
      <c r="G23" s="11"/>
      <c r="H23" s="11"/>
      <c r="I23" s="11"/>
      <c r="J23" s="36"/>
      <c r="K23" s="11"/>
      <c r="L23" s="11"/>
      <c r="M23" s="11"/>
      <c r="N23" s="11"/>
      <c r="O23" s="11"/>
      <c r="P23" s="11"/>
      <c r="Q23" s="11"/>
      <c r="R23" s="11"/>
      <c r="S23" s="11"/>
      <c r="T23" s="11"/>
      <c r="U23" s="11"/>
      <c r="V23" s="11"/>
      <c r="W23" s="11"/>
      <c r="X23" s="11"/>
      <c r="Y23" s="11"/>
      <c r="Z23" s="11"/>
    </row>
    <row r="24" ht="11.25" customHeight="1">
      <c r="A24" s="92"/>
      <c r="B24" s="11"/>
      <c r="C24" s="92"/>
      <c r="D24" s="11"/>
      <c r="E24" s="11"/>
      <c r="F24" s="11"/>
      <c r="G24" s="11"/>
      <c r="H24" s="11"/>
      <c r="I24" s="11"/>
      <c r="J24" s="36"/>
      <c r="K24" s="11"/>
      <c r="L24" s="11"/>
      <c r="M24" s="11"/>
      <c r="N24" s="11"/>
      <c r="O24" s="11"/>
      <c r="P24" s="11"/>
      <c r="Q24" s="11"/>
      <c r="R24" s="11"/>
      <c r="S24" s="11"/>
      <c r="T24" s="11"/>
      <c r="U24" s="11"/>
      <c r="V24" s="11"/>
      <c r="W24" s="11"/>
      <c r="X24" s="11"/>
      <c r="Y24" s="11"/>
      <c r="Z24" s="11"/>
    </row>
    <row r="25" ht="11.25" customHeight="1">
      <c r="A25" s="92"/>
      <c r="B25" s="11"/>
      <c r="C25" s="92"/>
      <c r="D25" s="11"/>
      <c r="E25" s="11"/>
      <c r="F25" s="11"/>
      <c r="G25" s="11"/>
      <c r="H25" s="11"/>
      <c r="I25" s="11"/>
      <c r="J25" s="36"/>
      <c r="K25" s="11"/>
      <c r="L25" s="11"/>
      <c r="M25" s="11"/>
      <c r="N25" s="11"/>
      <c r="O25" s="11"/>
      <c r="P25" s="11"/>
      <c r="Q25" s="11"/>
      <c r="R25" s="11"/>
      <c r="S25" s="11"/>
      <c r="T25" s="11"/>
      <c r="U25" s="11"/>
      <c r="V25" s="11"/>
      <c r="W25" s="11"/>
      <c r="X25" s="11"/>
      <c r="Y25" s="11"/>
      <c r="Z25" s="11"/>
    </row>
    <row r="26" ht="11.25" customHeight="1">
      <c r="A26" s="93"/>
      <c r="B26" s="93"/>
      <c r="C26" s="93"/>
      <c r="D26" s="93"/>
      <c r="E26" s="93"/>
      <c r="F26" s="11"/>
      <c r="G26" s="11"/>
      <c r="H26" s="11"/>
      <c r="I26" s="11"/>
      <c r="J26" s="36"/>
      <c r="K26" s="11"/>
      <c r="L26" s="11"/>
      <c r="M26" s="11"/>
      <c r="N26" s="11"/>
      <c r="O26" s="11"/>
      <c r="P26" s="11"/>
      <c r="Q26" s="11"/>
      <c r="R26" s="11"/>
      <c r="S26" s="11"/>
      <c r="T26" s="11"/>
      <c r="U26" s="11"/>
      <c r="V26" s="11"/>
      <c r="W26" s="11"/>
      <c r="X26" s="11"/>
      <c r="Y26" s="11"/>
      <c r="Z26" s="11"/>
    </row>
    <row r="27" ht="11.25" customHeight="1">
      <c r="A27" s="94"/>
      <c r="B27" s="93"/>
      <c r="C27" s="95"/>
      <c r="D27" s="95"/>
      <c r="E27" s="94"/>
      <c r="F27" s="11"/>
      <c r="G27" s="11"/>
      <c r="H27" s="11"/>
      <c r="I27" s="11"/>
      <c r="J27" s="36"/>
      <c r="K27" s="11"/>
      <c r="L27" s="11"/>
      <c r="M27" s="11"/>
      <c r="N27" s="11"/>
      <c r="O27" s="11"/>
      <c r="P27" s="11"/>
      <c r="Q27" s="11"/>
      <c r="R27" s="11"/>
      <c r="S27" s="11"/>
      <c r="T27" s="11"/>
      <c r="U27" s="11"/>
      <c r="V27" s="11"/>
      <c r="W27" s="11"/>
      <c r="X27" s="11"/>
      <c r="Y27" s="11"/>
      <c r="Z27" s="11"/>
    </row>
    <row r="28" ht="11.25" customHeight="1">
      <c r="A28" s="94"/>
      <c r="B28" s="93"/>
      <c r="C28" s="95"/>
      <c r="D28" s="95"/>
      <c r="E28" s="94"/>
      <c r="F28" s="11"/>
      <c r="G28" s="11"/>
      <c r="H28" s="11"/>
      <c r="I28" s="11"/>
      <c r="J28" s="36"/>
      <c r="K28" s="11"/>
      <c r="L28" s="11"/>
      <c r="M28" s="11"/>
      <c r="N28" s="11"/>
      <c r="O28" s="11"/>
      <c r="P28" s="11"/>
      <c r="Q28" s="11"/>
      <c r="R28" s="11"/>
      <c r="S28" s="11"/>
      <c r="T28" s="11"/>
      <c r="U28" s="11"/>
      <c r="V28" s="11"/>
      <c r="W28" s="11"/>
      <c r="X28" s="11"/>
      <c r="Y28" s="11"/>
      <c r="Z28" s="11"/>
    </row>
    <row r="29" ht="11.25" customHeight="1">
      <c r="A29" s="94"/>
      <c r="B29" s="93"/>
      <c r="C29" s="95"/>
      <c r="D29" s="95"/>
      <c r="E29" s="94"/>
      <c r="F29" s="11"/>
      <c r="G29" s="11"/>
      <c r="H29" s="11"/>
      <c r="I29" s="11"/>
      <c r="J29" s="36"/>
      <c r="K29" s="11"/>
      <c r="L29" s="11"/>
      <c r="M29" s="11"/>
      <c r="N29" s="11"/>
      <c r="O29" s="11"/>
      <c r="P29" s="11"/>
      <c r="Q29" s="11"/>
      <c r="R29" s="11"/>
      <c r="S29" s="11"/>
      <c r="T29" s="11"/>
      <c r="U29" s="11"/>
      <c r="V29" s="11"/>
      <c r="W29" s="11"/>
      <c r="X29" s="11"/>
      <c r="Y29" s="11"/>
      <c r="Z29" s="11"/>
    </row>
    <row r="30" ht="11.25" customHeight="1">
      <c r="A30" s="94"/>
      <c r="B30" s="93"/>
      <c r="C30" s="95"/>
      <c r="D30" s="95"/>
      <c r="E30" s="94"/>
      <c r="F30" s="11"/>
      <c r="G30" s="11"/>
      <c r="H30" s="11"/>
      <c r="I30" s="11"/>
      <c r="J30" s="36"/>
      <c r="K30" s="11"/>
      <c r="L30" s="11"/>
      <c r="M30" s="11"/>
      <c r="N30" s="11"/>
      <c r="O30" s="11"/>
      <c r="P30" s="11"/>
      <c r="Q30" s="11"/>
      <c r="R30" s="11"/>
      <c r="S30" s="11"/>
      <c r="T30" s="11"/>
      <c r="U30" s="11"/>
      <c r="V30" s="11"/>
      <c r="W30" s="11"/>
      <c r="X30" s="11"/>
      <c r="Y30" s="11"/>
      <c r="Z30" s="11"/>
    </row>
    <row r="31" ht="11.25" customHeight="1">
      <c r="A31" s="94"/>
      <c r="B31" s="93"/>
      <c r="C31" s="95"/>
      <c r="D31" s="95"/>
      <c r="E31" s="94"/>
      <c r="F31" s="11"/>
      <c r="G31" s="11"/>
      <c r="H31" s="11"/>
      <c r="I31" s="11"/>
      <c r="J31" s="36"/>
      <c r="K31" s="11"/>
      <c r="L31" s="11"/>
      <c r="M31" s="11"/>
      <c r="N31" s="11"/>
      <c r="O31" s="11"/>
      <c r="P31" s="11"/>
      <c r="Q31" s="11"/>
      <c r="R31" s="11"/>
      <c r="S31" s="11"/>
      <c r="T31" s="11"/>
      <c r="U31" s="11"/>
      <c r="V31" s="11"/>
      <c r="W31" s="11"/>
      <c r="X31" s="11"/>
      <c r="Y31" s="11"/>
      <c r="Z31" s="11"/>
    </row>
    <row r="32" ht="11.25" customHeight="1">
      <c r="A32" s="94"/>
      <c r="B32" s="93"/>
      <c r="C32" s="95"/>
      <c r="D32" s="95"/>
      <c r="E32" s="94"/>
      <c r="F32" s="11"/>
      <c r="G32" s="11"/>
      <c r="H32" s="11"/>
      <c r="I32" s="11"/>
      <c r="J32" s="36"/>
      <c r="K32" s="11"/>
      <c r="L32" s="11"/>
      <c r="M32" s="11"/>
      <c r="N32" s="11"/>
      <c r="O32" s="11"/>
      <c r="P32" s="11"/>
      <c r="Q32" s="11"/>
      <c r="R32" s="11"/>
      <c r="S32" s="11"/>
      <c r="T32" s="11"/>
      <c r="U32" s="11"/>
      <c r="V32" s="11"/>
      <c r="W32" s="11"/>
      <c r="X32" s="11"/>
      <c r="Y32" s="11"/>
      <c r="Z32" s="11"/>
    </row>
    <row r="33" ht="11.25" customHeight="1">
      <c r="A33" s="92"/>
      <c r="B33" s="11"/>
      <c r="C33" s="92"/>
      <c r="D33" s="11"/>
      <c r="E33" s="11"/>
      <c r="F33" s="11"/>
      <c r="G33" s="11"/>
      <c r="H33" s="11"/>
      <c r="I33" s="11"/>
      <c r="J33" s="36"/>
      <c r="K33" s="11"/>
      <c r="L33" s="11"/>
      <c r="M33" s="11"/>
      <c r="N33" s="11"/>
      <c r="O33" s="11"/>
      <c r="P33" s="11"/>
      <c r="Q33" s="11"/>
      <c r="R33" s="11"/>
      <c r="S33" s="11"/>
      <c r="T33" s="11"/>
      <c r="U33" s="11"/>
      <c r="V33" s="11"/>
      <c r="W33" s="11"/>
      <c r="X33" s="11"/>
      <c r="Y33" s="11"/>
      <c r="Z33" s="11"/>
    </row>
    <row r="34" ht="11.25" customHeight="1">
      <c r="A34" s="92"/>
      <c r="B34" s="11"/>
      <c r="C34" s="92"/>
      <c r="D34" s="11"/>
      <c r="E34" s="11"/>
      <c r="F34" s="11"/>
      <c r="G34" s="11"/>
      <c r="H34" s="11"/>
      <c r="I34" s="11"/>
      <c r="J34" s="36"/>
      <c r="K34" s="11"/>
      <c r="L34" s="11"/>
      <c r="M34" s="11"/>
      <c r="N34" s="11"/>
      <c r="O34" s="11"/>
      <c r="P34" s="11"/>
      <c r="Q34" s="11"/>
      <c r="R34" s="11"/>
      <c r="S34" s="11"/>
      <c r="T34" s="11"/>
      <c r="U34" s="11"/>
      <c r="V34" s="11"/>
      <c r="W34" s="11"/>
      <c r="X34" s="11"/>
      <c r="Y34" s="11"/>
      <c r="Z34" s="11"/>
    </row>
    <row r="35" ht="11.25" customHeight="1">
      <c r="A35" s="92"/>
      <c r="B35" s="11"/>
      <c r="C35" s="92"/>
      <c r="D35" s="11"/>
      <c r="E35" s="11"/>
      <c r="F35" s="11"/>
      <c r="G35" s="11"/>
      <c r="H35" s="11"/>
      <c r="I35" s="11"/>
      <c r="J35" s="36"/>
      <c r="K35" s="11"/>
      <c r="L35" s="11"/>
      <c r="M35" s="11"/>
      <c r="N35" s="11"/>
      <c r="O35" s="11"/>
      <c r="P35" s="11"/>
      <c r="Q35" s="11"/>
      <c r="R35" s="11"/>
      <c r="S35" s="11"/>
      <c r="T35" s="11"/>
      <c r="U35" s="11"/>
      <c r="V35" s="11"/>
      <c r="W35" s="11"/>
      <c r="X35" s="11"/>
      <c r="Y35" s="11"/>
      <c r="Z35" s="11"/>
    </row>
    <row r="36" ht="11.25" customHeight="1">
      <c r="A36" s="92"/>
      <c r="B36" s="11"/>
      <c r="C36" s="92"/>
      <c r="D36" s="11"/>
      <c r="E36" s="11"/>
      <c r="F36" s="11"/>
      <c r="G36" s="11"/>
      <c r="H36" s="11"/>
      <c r="I36" s="11"/>
      <c r="J36" s="36"/>
      <c r="K36" s="11"/>
      <c r="L36" s="11"/>
      <c r="M36" s="11"/>
      <c r="N36" s="11"/>
      <c r="O36" s="11"/>
      <c r="P36" s="11"/>
      <c r="Q36" s="11"/>
      <c r="R36" s="11"/>
      <c r="S36" s="11"/>
      <c r="T36" s="11"/>
      <c r="U36" s="11"/>
      <c r="V36" s="11"/>
      <c r="W36" s="11"/>
      <c r="X36" s="11"/>
      <c r="Y36" s="11"/>
      <c r="Z36" s="11"/>
    </row>
    <row r="37" ht="11.25" customHeight="1">
      <c r="A37" s="92"/>
      <c r="B37" s="11"/>
      <c r="C37" s="92"/>
      <c r="D37" s="11"/>
      <c r="E37" s="11"/>
      <c r="F37" s="11"/>
      <c r="G37" s="11"/>
      <c r="H37" s="11"/>
      <c r="I37" s="11"/>
      <c r="J37" s="36"/>
      <c r="K37" s="11"/>
      <c r="L37" s="11"/>
      <c r="M37" s="11"/>
      <c r="N37" s="11"/>
      <c r="O37" s="11"/>
      <c r="P37" s="11"/>
      <c r="Q37" s="11"/>
      <c r="R37" s="11"/>
      <c r="S37" s="11"/>
      <c r="T37" s="11"/>
      <c r="U37" s="11"/>
      <c r="V37" s="11"/>
      <c r="W37" s="11"/>
      <c r="X37" s="11"/>
      <c r="Y37" s="11"/>
      <c r="Z37" s="11"/>
    </row>
    <row r="38" ht="11.25" customHeight="1">
      <c r="A38" s="92"/>
      <c r="B38" s="11"/>
      <c r="C38" s="92"/>
      <c r="D38" s="11"/>
      <c r="E38" s="11"/>
      <c r="F38" s="11"/>
      <c r="G38" s="11"/>
      <c r="H38" s="11"/>
      <c r="I38" s="11"/>
      <c r="J38" s="36"/>
      <c r="K38" s="11"/>
      <c r="L38" s="11"/>
      <c r="M38" s="11"/>
      <c r="N38" s="11"/>
      <c r="O38" s="11"/>
      <c r="P38" s="11"/>
      <c r="Q38" s="11"/>
      <c r="R38" s="11"/>
      <c r="S38" s="11"/>
      <c r="T38" s="11"/>
      <c r="U38" s="11"/>
      <c r="V38" s="11"/>
      <c r="W38" s="11"/>
      <c r="X38" s="11"/>
      <c r="Y38" s="11"/>
      <c r="Z38" s="11"/>
    </row>
    <row r="39" ht="11.25" customHeight="1">
      <c r="A39" s="92"/>
      <c r="B39" s="11"/>
      <c r="C39" s="92"/>
      <c r="D39" s="11"/>
      <c r="E39" s="11"/>
      <c r="F39" s="11"/>
      <c r="G39" s="11"/>
      <c r="H39" s="11"/>
      <c r="I39" s="11"/>
      <c r="J39" s="36"/>
      <c r="K39" s="11"/>
      <c r="L39" s="11"/>
      <c r="M39" s="11"/>
      <c r="N39" s="11"/>
      <c r="O39" s="11"/>
      <c r="P39" s="11"/>
      <c r="Q39" s="11"/>
      <c r="R39" s="11"/>
      <c r="S39" s="11"/>
      <c r="T39" s="11"/>
      <c r="U39" s="11"/>
      <c r="V39" s="11"/>
      <c r="W39" s="11"/>
      <c r="X39" s="11"/>
      <c r="Y39" s="11"/>
      <c r="Z39" s="11"/>
    </row>
    <row r="40" ht="11.25" customHeight="1">
      <c r="A40" s="92"/>
      <c r="B40" s="11"/>
      <c r="C40" s="92"/>
      <c r="D40" s="11"/>
      <c r="E40" s="11"/>
      <c r="F40" s="11"/>
      <c r="G40" s="11"/>
      <c r="H40" s="11"/>
      <c r="I40" s="11"/>
      <c r="J40" s="36"/>
      <c r="K40" s="11"/>
      <c r="L40" s="11"/>
      <c r="M40" s="11"/>
      <c r="N40" s="11"/>
      <c r="O40" s="11"/>
      <c r="P40" s="11"/>
      <c r="Q40" s="11"/>
      <c r="R40" s="11"/>
      <c r="S40" s="11"/>
      <c r="T40" s="11"/>
      <c r="U40" s="11"/>
      <c r="V40" s="11"/>
      <c r="W40" s="11"/>
      <c r="X40" s="11"/>
      <c r="Y40" s="11"/>
      <c r="Z40" s="11"/>
    </row>
    <row r="41" ht="11.25" customHeight="1">
      <c r="A41" s="92"/>
      <c r="B41" s="11"/>
      <c r="C41" s="92"/>
      <c r="D41" s="11"/>
      <c r="E41" s="11"/>
      <c r="F41" s="11"/>
      <c r="G41" s="11"/>
      <c r="H41" s="11"/>
      <c r="I41" s="11"/>
      <c r="J41" s="36"/>
      <c r="K41" s="11"/>
      <c r="L41" s="11"/>
      <c r="M41" s="11"/>
      <c r="N41" s="11"/>
      <c r="O41" s="11"/>
      <c r="P41" s="11"/>
      <c r="Q41" s="11"/>
      <c r="R41" s="11"/>
      <c r="S41" s="11"/>
      <c r="T41" s="11"/>
      <c r="U41" s="11"/>
      <c r="V41" s="11"/>
      <c r="W41" s="11"/>
      <c r="X41" s="11"/>
      <c r="Y41" s="11"/>
      <c r="Z41" s="11"/>
    </row>
    <row r="42" ht="11.25" customHeight="1">
      <c r="A42" s="92"/>
      <c r="B42" s="11"/>
      <c r="C42" s="92"/>
      <c r="D42" s="11"/>
      <c r="E42" s="11"/>
      <c r="F42" s="11"/>
      <c r="G42" s="11"/>
      <c r="H42" s="11"/>
      <c r="I42" s="11"/>
      <c r="J42" s="36"/>
      <c r="K42" s="11"/>
      <c r="L42" s="11"/>
      <c r="M42" s="11"/>
      <c r="N42" s="11"/>
      <c r="O42" s="11"/>
      <c r="P42" s="11"/>
      <c r="Q42" s="11"/>
      <c r="R42" s="11"/>
      <c r="S42" s="11"/>
      <c r="T42" s="11"/>
      <c r="U42" s="11"/>
      <c r="V42" s="11"/>
      <c r="W42" s="11"/>
      <c r="X42" s="11"/>
      <c r="Y42" s="11"/>
      <c r="Z42" s="11"/>
    </row>
    <row r="43" ht="11.25" customHeight="1">
      <c r="A43" s="92"/>
      <c r="B43" s="11"/>
      <c r="C43" s="92"/>
      <c r="D43" s="11"/>
      <c r="E43" s="11"/>
      <c r="F43" s="11"/>
      <c r="G43" s="11"/>
      <c r="H43" s="11"/>
      <c r="I43" s="11"/>
      <c r="J43" s="36"/>
      <c r="K43" s="11"/>
      <c r="L43" s="11"/>
      <c r="M43" s="11"/>
      <c r="N43" s="11"/>
      <c r="O43" s="11"/>
      <c r="P43" s="11"/>
      <c r="Q43" s="11"/>
      <c r="R43" s="11"/>
      <c r="S43" s="11"/>
      <c r="T43" s="11"/>
      <c r="U43" s="11"/>
      <c r="V43" s="11"/>
      <c r="W43" s="11"/>
      <c r="X43" s="11"/>
      <c r="Y43" s="11"/>
      <c r="Z43" s="11"/>
    </row>
    <row r="44" ht="11.25" customHeight="1">
      <c r="A44" s="92"/>
      <c r="B44" s="11"/>
      <c r="C44" s="92"/>
      <c r="D44" s="11"/>
      <c r="E44" s="11"/>
      <c r="F44" s="11"/>
      <c r="G44" s="11"/>
      <c r="H44" s="11"/>
      <c r="I44" s="11"/>
      <c r="J44" s="36"/>
      <c r="K44" s="11"/>
      <c r="L44" s="11"/>
      <c r="M44" s="11"/>
      <c r="N44" s="11"/>
      <c r="O44" s="11"/>
      <c r="P44" s="11"/>
      <c r="Q44" s="11"/>
      <c r="R44" s="11"/>
      <c r="S44" s="11"/>
      <c r="T44" s="11"/>
      <c r="U44" s="11"/>
      <c r="V44" s="11"/>
      <c r="W44" s="11"/>
      <c r="X44" s="11"/>
      <c r="Y44" s="11"/>
      <c r="Z44" s="11"/>
    </row>
    <row r="45" ht="11.25" customHeight="1">
      <c r="A45" s="92"/>
      <c r="B45" s="11"/>
      <c r="C45" s="92"/>
      <c r="D45" s="11"/>
      <c r="E45" s="11"/>
      <c r="F45" s="11"/>
      <c r="G45" s="11"/>
      <c r="H45" s="11"/>
      <c r="I45" s="11"/>
      <c r="J45" s="36"/>
      <c r="K45" s="11"/>
      <c r="L45" s="11"/>
      <c r="M45" s="11"/>
      <c r="N45" s="11"/>
      <c r="O45" s="11"/>
      <c r="P45" s="11"/>
      <c r="Q45" s="11"/>
      <c r="R45" s="11"/>
      <c r="S45" s="11"/>
      <c r="T45" s="11"/>
      <c r="U45" s="11"/>
      <c r="V45" s="11"/>
      <c r="W45" s="11"/>
      <c r="X45" s="11"/>
      <c r="Y45" s="11"/>
      <c r="Z45" s="11"/>
    </row>
    <row r="46" ht="11.25" customHeight="1">
      <c r="A46" s="92"/>
      <c r="B46" s="11"/>
      <c r="C46" s="92"/>
      <c r="D46" s="11"/>
      <c r="E46" s="11"/>
      <c r="F46" s="11"/>
      <c r="G46" s="11"/>
      <c r="H46" s="11"/>
      <c r="I46" s="11"/>
      <c r="J46" s="36"/>
      <c r="K46" s="11"/>
      <c r="L46" s="11"/>
      <c r="M46" s="11"/>
      <c r="N46" s="11"/>
      <c r="O46" s="11"/>
      <c r="P46" s="11"/>
      <c r="Q46" s="11"/>
      <c r="R46" s="11"/>
      <c r="S46" s="11"/>
      <c r="T46" s="11"/>
      <c r="U46" s="11"/>
      <c r="V46" s="11"/>
      <c r="W46" s="11"/>
      <c r="X46" s="11"/>
      <c r="Y46" s="11"/>
      <c r="Z46" s="11"/>
    </row>
    <row r="47" ht="11.25" customHeight="1">
      <c r="A47" s="92"/>
      <c r="B47" s="11"/>
      <c r="C47" s="92"/>
      <c r="D47" s="11"/>
      <c r="E47" s="11"/>
      <c r="F47" s="11"/>
      <c r="G47" s="11"/>
      <c r="H47" s="11"/>
      <c r="I47" s="11"/>
      <c r="J47" s="36"/>
      <c r="K47" s="11"/>
      <c r="L47" s="11"/>
      <c r="M47" s="11"/>
      <c r="N47" s="11"/>
      <c r="O47" s="11"/>
      <c r="P47" s="11"/>
      <c r="Q47" s="11"/>
      <c r="R47" s="11"/>
      <c r="S47" s="11"/>
      <c r="T47" s="11"/>
      <c r="U47" s="11"/>
      <c r="V47" s="11"/>
      <c r="W47" s="11"/>
      <c r="X47" s="11"/>
      <c r="Y47" s="11"/>
      <c r="Z47" s="11"/>
    </row>
    <row r="48" ht="11.25" customHeight="1">
      <c r="A48" s="92"/>
      <c r="B48" s="11"/>
      <c r="C48" s="92"/>
      <c r="D48" s="11"/>
      <c r="E48" s="11"/>
      <c r="F48" s="11"/>
      <c r="G48" s="11"/>
      <c r="H48" s="11"/>
      <c r="I48" s="11"/>
      <c r="J48" s="36"/>
      <c r="K48" s="11"/>
      <c r="L48" s="11"/>
      <c r="M48" s="11"/>
      <c r="N48" s="11"/>
      <c r="O48" s="11"/>
      <c r="P48" s="11"/>
      <c r="Q48" s="11"/>
      <c r="R48" s="11"/>
      <c r="S48" s="11"/>
      <c r="T48" s="11"/>
      <c r="U48" s="11"/>
      <c r="V48" s="11"/>
      <c r="W48" s="11"/>
      <c r="X48" s="11"/>
      <c r="Y48" s="11"/>
      <c r="Z48" s="11"/>
    </row>
    <row r="49" ht="11.25" customHeight="1">
      <c r="A49" s="92"/>
      <c r="B49" s="11"/>
      <c r="C49" s="92"/>
      <c r="D49" s="11"/>
      <c r="E49" s="11"/>
      <c r="F49" s="11"/>
      <c r="G49" s="11"/>
      <c r="H49" s="11"/>
      <c r="I49" s="11"/>
      <c r="J49" s="36"/>
      <c r="K49" s="11"/>
      <c r="L49" s="11"/>
      <c r="M49" s="11"/>
      <c r="N49" s="11"/>
      <c r="O49" s="11"/>
      <c r="P49" s="11"/>
      <c r="Q49" s="11"/>
      <c r="R49" s="11"/>
      <c r="S49" s="11"/>
      <c r="T49" s="11"/>
      <c r="U49" s="11"/>
      <c r="V49" s="11"/>
      <c r="W49" s="11"/>
      <c r="X49" s="11"/>
      <c r="Y49" s="11"/>
      <c r="Z49" s="11"/>
    </row>
    <row r="50" ht="11.25" customHeight="1">
      <c r="A50" s="92"/>
      <c r="B50" s="11"/>
      <c r="C50" s="92"/>
      <c r="D50" s="11"/>
      <c r="E50" s="11"/>
      <c r="F50" s="11"/>
      <c r="G50" s="11"/>
      <c r="H50" s="11"/>
      <c r="I50" s="11"/>
      <c r="J50" s="36"/>
      <c r="K50" s="11"/>
      <c r="L50" s="11"/>
      <c r="M50" s="11"/>
      <c r="N50" s="11"/>
      <c r="O50" s="11"/>
      <c r="P50" s="11"/>
      <c r="Q50" s="11"/>
      <c r="R50" s="11"/>
      <c r="S50" s="11"/>
      <c r="T50" s="11"/>
      <c r="U50" s="11"/>
      <c r="V50" s="11"/>
      <c r="W50" s="11"/>
      <c r="X50" s="11"/>
      <c r="Y50" s="11"/>
      <c r="Z50" s="11"/>
    </row>
    <row r="51" ht="11.25" customHeight="1">
      <c r="A51" s="92"/>
      <c r="B51" s="11"/>
      <c r="C51" s="92"/>
      <c r="D51" s="11"/>
      <c r="E51" s="11"/>
      <c r="F51" s="11"/>
      <c r="G51" s="11"/>
      <c r="H51" s="11"/>
      <c r="I51" s="11"/>
      <c r="J51" s="36"/>
      <c r="K51" s="11"/>
      <c r="L51" s="11"/>
      <c r="M51" s="11"/>
      <c r="N51" s="11"/>
      <c r="O51" s="11"/>
      <c r="P51" s="11"/>
      <c r="Q51" s="11"/>
      <c r="R51" s="11"/>
      <c r="S51" s="11"/>
      <c r="T51" s="11"/>
      <c r="U51" s="11"/>
      <c r="V51" s="11"/>
      <c r="W51" s="11"/>
      <c r="X51" s="11"/>
      <c r="Y51" s="11"/>
      <c r="Z51" s="11"/>
    </row>
    <row r="52" ht="11.25" customHeight="1">
      <c r="A52" s="92"/>
      <c r="B52" s="11"/>
      <c r="C52" s="92"/>
      <c r="D52" s="11"/>
      <c r="E52" s="11"/>
      <c r="F52" s="11"/>
      <c r="G52" s="11"/>
      <c r="H52" s="11"/>
      <c r="I52" s="11"/>
      <c r="J52" s="36"/>
      <c r="K52" s="11"/>
      <c r="L52" s="11"/>
      <c r="M52" s="11"/>
      <c r="N52" s="11"/>
      <c r="O52" s="11"/>
      <c r="P52" s="11"/>
      <c r="Q52" s="11"/>
      <c r="R52" s="11"/>
      <c r="S52" s="11"/>
      <c r="T52" s="11"/>
      <c r="U52" s="11"/>
      <c r="V52" s="11"/>
      <c r="W52" s="11"/>
      <c r="X52" s="11"/>
      <c r="Y52" s="11"/>
      <c r="Z52" s="11"/>
    </row>
    <row r="53" ht="11.25" customHeight="1">
      <c r="A53" s="92"/>
      <c r="B53" s="11"/>
      <c r="C53" s="92"/>
      <c r="D53" s="11"/>
      <c r="E53" s="11"/>
      <c r="F53" s="11"/>
      <c r="G53" s="11"/>
      <c r="H53" s="11"/>
      <c r="I53" s="11"/>
      <c r="J53" s="36"/>
      <c r="K53" s="11"/>
      <c r="L53" s="11"/>
      <c r="M53" s="11"/>
      <c r="N53" s="11"/>
      <c r="O53" s="11"/>
      <c r="P53" s="11"/>
      <c r="Q53" s="11"/>
      <c r="R53" s="11"/>
      <c r="S53" s="11"/>
      <c r="T53" s="11"/>
      <c r="U53" s="11"/>
      <c r="V53" s="11"/>
      <c r="W53" s="11"/>
      <c r="X53" s="11"/>
      <c r="Y53" s="11"/>
      <c r="Z53" s="11"/>
    </row>
    <row r="54" ht="11.25" customHeight="1">
      <c r="A54" s="92"/>
      <c r="B54" s="11"/>
      <c r="C54" s="92"/>
      <c r="D54" s="11"/>
      <c r="E54" s="11"/>
      <c r="F54" s="11"/>
      <c r="G54" s="11"/>
      <c r="H54" s="11"/>
      <c r="I54" s="11"/>
      <c r="J54" s="36"/>
      <c r="K54" s="11"/>
      <c r="L54" s="11"/>
      <c r="M54" s="11"/>
      <c r="N54" s="11"/>
      <c r="O54" s="11"/>
      <c r="P54" s="11"/>
      <c r="Q54" s="11"/>
      <c r="R54" s="11"/>
      <c r="S54" s="11"/>
      <c r="T54" s="11"/>
      <c r="U54" s="11"/>
      <c r="V54" s="11"/>
      <c r="W54" s="11"/>
      <c r="X54" s="11"/>
      <c r="Y54" s="11"/>
      <c r="Z54" s="11"/>
    </row>
    <row r="55" ht="11.25" customHeight="1">
      <c r="A55" s="92"/>
      <c r="B55" s="11"/>
      <c r="C55" s="92"/>
      <c r="D55" s="11"/>
      <c r="E55" s="11"/>
      <c r="F55" s="11"/>
      <c r="G55" s="11"/>
      <c r="H55" s="11"/>
      <c r="I55" s="11"/>
      <c r="J55" s="36"/>
      <c r="K55" s="11"/>
      <c r="L55" s="11"/>
      <c r="M55" s="11"/>
      <c r="N55" s="11"/>
      <c r="O55" s="11"/>
      <c r="P55" s="11"/>
      <c r="Q55" s="11"/>
      <c r="R55" s="11"/>
      <c r="S55" s="11"/>
      <c r="T55" s="11"/>
      <c r="U55" s="11"/>
      <c r="V55" s="11"/>
      <c r="W55" s="11"/>
      <c r="X55" s="11"/>
      <c r="Y55" s="11"/>
      <c r="Z55" s="11"/>
    </row>
    <row r="56" ht="11.25" customHeight="1">
      <c r="A56" s="92"/>
      <c r="B56" s="11"/>
      <c r="C56" s="92"/>
      <c r="D56" s="11"/>
      <c r="E56" s="11"/>
      <c r="F56" s="11"/>
      <c r="G56" s="11"/>
      <c r="H56" s="11"/>
      <c r="I56" s="11"/>
      <c r="J56" s="36"/>
      <c r="K56" s="11"/>
      <c r="L56" s="11"/>
      <c r="M56" s="11"/>
      <c r="N56" s="11"/>
      <c r="O56" s="11"/>
      <c r="P56" s="11"/>
      <c r="Q56" s="11"/>
      <c r="R56" s="11"/>
      <c r="S56" s="11"/>
      <c r="T56" s="11"/>
      <c r="U56" s="11"/>
      <c r="V56" s="11"/>
      <c r="W56" s="11"/>
      <c r="X56" s="11"/>
      <c r="Y56" s="11"/>
      <c r="Z56" s="11"/>
    </row>
    <row r="57" ht="11.25" customHeight="1">
      <c r="A57" s="92"/>
      <c r="B57" s="11"/>
      <c r="C57" s="92"/>
      <c r="D57" s="11"/>
      <c r="E57" s="11"/>
      <c r="F57" s="11"/>
      <c r="G57" s="11"/>
      <c r="H57" s="11"/>
      <c r="I57" s="11"/>
      <c r="J57" s="36"/>
      <c r="K57" s="11"/>
      <c r="L57" s="11"/>
      <c r="M57" s="11"/>
      <c r="N57" s="11"/>
      <c r="O57" s="11"/>
      <c r="P57" s="11"/>
      <c r="Q57" s="11"/>
      <c r="R57" s="11"/>
      <c r="S57" s="11"/>
      <c r="T57" s="11"/>
      <c r="U57" s="11"/>
      <c r="V57" s="11"/>
      <c r="W57" s="11"/>
      <c r="X57" s="11"/>
      <c r="Y57" s="11"/>
      <c r="Z57" s="11"/>
    </row>
    <row r="58" ht="11.25" customHeight="1">
      <c r="A58" s="92"/>
      <c r="B58" s="11"/>
      <c r="C58" s="92"/>
      <c r="D58" s="11"/>
      <c r="E58" s="11"/>
      <c r="F58" s="11"/>
      <c r="G58" s="11"/>
      <c r="H58" s="11"/>
      <c r="I58" s="11"/>
      <c r="J58" s="36"/>
      <c r="K58" s="11"/>
      <c r="L58" s="11"/>
      <c r="M58" s="11"/>
      <c r="N58" s="11"/>
      <c r="O58" s="11"/>
      <c r="P58" s="11"/>
      <c r="Q58" s="11"/>
      <c r="R58" s="11"/>
      <c r="S58" s="11"/>
      <c r="T58" s="11"/>
      <c r="U58" s="11"/>
      <c r="V58" s="11"/>
      <c r="W58" s="11"/>
      <c r="X58" s="11"/>
      <c r="Y58" s="11"/>
      <c r="Z58" s="11"/>
    </row>
    <row r="59" ht="11.25" customHeight="1">
      <c r="A59" s="92"/>
      <c r="B59" s="11"/>
      <c r="C59" s="92"/>
      <c r="D59" s="11"/>
      <c r="E59" s="11"/>
      <c r="F59" s="11"/>
      <c r="G59" s="11"/>
      <c r="H59" s="11"/>
      <c r="I59" s="11"/>
      <c r="J59" s="36"/>
      <c r="K59" s="11"/>
      <c r="L59" s="11"/>
      <c r="M59" s="11"/>
      <c r="N59" s="11"/>
      <c r="O59" s="11"/>
      <c r="P59" s="11"/>
      <c r="Q59" s="11"/>
      <c r="R59" s="11"/>
      <c r="S59" s="11"/>
      <c r="T59" s="11"/>
      <c r="U59" s="11"/>
      <c r="V59" s="11"/>
      <c r="W59" s="11"/>
      <c r="X59" s="11"/>
      <c r="Y59" s="11"/>
      <c r="Z59" s="11"/>
    </row>
    <row r="60" ht="11.25" customHeight="1">
      <c r="A60" s="92"/>
      <c r="B60" s="11"/>
      <c r="C60" s="92"/>
      <c r="D60" s="11"/>
      <c r="E60" s="11"/>
      <c r="F60" s="11"/>
      <c r="G60" s="11"/>
      <c r="H60" s="11"/>
      <c r="I60" s="11"/>
      <c r="J60" s="36"/>
      <c r="K60" s="11"/>
      <c r="L60" s="11"/>
      <c r="M60" s="11"/>
      <c r="N60" s="11"/>
      <c r="O60" s="11"/>
      <c r="P60" s="11"/>
      <c r="Q60" s="11"/>
      <c r="R60" s="11"/>
      <c r="S60" s="11"/>
      <c r="T60" s="11"/>
      <c r="U60" s="11"/>
      <c r="V60" s="11"/>
      <c r="W60" s="11"/>
      <c r="X60" s="11"/>
      <c r="Y60" s="11"/>
      <c r="Z60" s="11"/>
    </row>
    <row r="61" ht="11.25" customHeight="1">
      <c r="A61" s="92"/>
      <c r="B61" s="11"/>
      <c r="C61" s="92"/>
      <c r="D61" s="11"/>
      <c r="E61" s="11"/>
      <c r="F61" s="11"/>
      <c r="G61" s="11"/>
      <c r="H61" s="11"/>
      <c r="I61" s="11"/>
      <c r="J61" s="36"/>
      <c r="K61" s="11"/>
      <c r="L61" s="11"/>
      <c r="M61" s="11"/>
      <c r="N61" s="11"/>
      <c r="O61" s="11"/>
      <c r="P61" s="11"/>
      <c r="Q61" s="11"/>
      <c r="R61" s="11"/>
      <c r="S61" s="11"/>
      <c r="T61" s="11"/>
      <c r="U61" s="11"/>
      <c r="V61" s="11"/>
      <c r="W61" s="11"/>
      <c r="X61" s="11"/>
      <c r="Y61" s="11"/>
      <c r="Z61" s="11"/>
    </row>
    <row r="62" ht="11.25" customHeight="1">
      <c r="A62" s="92"/>
      <c r="B62" s="11"/>
      <c r="C62" s="92"/>
      <c r="D62" s="11"/>
      <c r="E62" s="11"/>
      <c r="F62" s="11"/>
      <c r="G62" s="11"/>
      <c r="H62" s="11"/>
      <c r="I62" s="11"/>
      <c r="J62" s="36"/>
      <c r="K62" s="11"/>
      <c r="L62" s="11"/>
      <c r="M62" s="11"/>
      <c r="N62" s="11"/>
      <c r="O62" s="11"/>
      <c r="P62" s="11"/>
      <c r="Q62" s="11"/>
      <c r="R62" s="11"/>
      <c r="S62" s="11"/>
      <c r="T62" s="11"/>
      <c r="U62" s="11"/>
      <c r="V62" s="11"/>
      <c r="W62" s="11"/>
      <c r="X62" s="11"/>
      <c r="Y62" s="11"/>
      <c r="Z62" s="11"/>
    </row>
    <row r="63" ht="11.25" customHeight="1">
      <c r="A63" s="92"/>
      <c r="B63" s="11"/>
      <c r="C63" s="92"/>
      <c r="D63" s="11"/>
      <c r="E63" s="11"/>
      <c r="F63" s="11"/>
      <c r="G63" s="11"/>
      <c r="H63" s="11"/>
      <c r="I63" s="11"/>
      <c r="J63" s="36"/>
      <c r="K63" s="11"/>
      <c r="L63" s="11"/>
      <c r="M63" s="11"/>
      <c r="N63" s="11"/>
      <c r="O63" s="11"/>
      <c r="P63" s="11"/>
      <c r="Q63" s="11"/>
      <c r="R63" s="11"/>
      <c r="S63" s="11"/>
      <c r="T63" s="11"/>
      <c r="U63" s="11"/>
      <c r="V63" s="11"/>
      <c r="W63" s="11"/>
      <c r="X63" s="11"/>
      <c r="Y63" s="11"/>
      <c r="Z63" s="11"/>
    </row>
    <row r="64" ht="11.25" customHeight="1">
      <c r="A64" s="92"/>
      <c r="B64" s="11"/>
      <c r="C64" s="92"/>
      <c r="D64" s="11"/>
      <c r="E64" s="11"/>
      <c r="F64" s="11"/>
      <c r="G64" s="11"/>
      <c r="H64" s="11"/>
      <c r="I64" s="11"/>
      <c r="J64" s="36"/>
      <c r="K64" s="11"/>
      <c r="L64" s="11"/>
      <c r="M64" s="11"/>
      <c r="N64" s="11"/>
      <c r="O64" s="11"/>
      <c r="P64" s="11"/>
      <c r="Q64" s="11"/>
      <c r="R64" s="11"/>
      <c r="S64" s="11"/>
      <c r="T64" s="11"/>
      <c r="U64" s="11"/>
      <c r="V64" s="11"/>
      <c r="W64" s="11"/>
      <c r="X64" s="11"/>
      <c r="Y64" s="11"/>
      <c r="Z64" s="11"/>
    </row>
    <row r="65" ht="11.25" customHeight="1">
      <c r="A65" s="92"/>
      <c r="B65" s="11"/>
      <c r="C65" s="92"/>
      <c r="D65" s="11"/>
      <c r="E65" s="11"/>
      <c r="F65" s="11"/>
      <c r="G65" s="11"/>
      <c r="H65" s="11"/>
      <c r="I65" s="11"/>
      <c r="J65" s="36"/>
      <c r="K65" s="11"/>
      <c r="L65" s="11"/>
      <c r="M65" s="11"/>
      <c r="N65" s="11"/>
      <c r="O65" s="11"/>
      <c r="P65" s="11"/>
      <c r="Q65" s="11"/>
      <c r="R65" s="11"/>
      <c r="S65" s="11"/>
      <c r="T65" s="11"/>
      <c r="U65" s="11"/>
      <c r="V65" s="11"/>
      <c r="W65" s="11"/>
      <c r="X65" s="11"/>
      <c r="Y65" s="11"/>
      <c r="Z65" s="11"/>
    </row>
    <row r="66" ht="11.25" customHeight="1">
      <c r="A66" s="92"/>
      <c r="B66" s="11"/>
      <c r="C66" s="92"/>
      <c r="D66" s="11"/>
      <c r="E66" s="11"/>
      <c r="F66" s="11"/>
      <c r="G66" s="11"/>
      <c r="H66" s="11"/>
      <c r="I66" s="11"/>
      <c r="J66" s="36"/>
      <c r="K66" s="11"/>
      <c r="L66" s="11"/>
      <c r="M66" s="11"/>
      <c r="N66" s="11"/>
      <c r="O66" s="11"/>
      <c r="P66" s="11"/>
      <c r="Q66" s="11"/>
      <c r="R66" s="11"/>
      <c r="S66" s="11"/>
      <c r="T66" s="11"/>
      <c r="U66" s="11"/>
      <c r="V66" s="11"/>
      <c r="W66" s="11"/>
      <c r="X66" s="11"/>
      <c r="Y66" s="11"/>
      <c r="Z66" s="11"/>
    </row>
    <row r="67" ht="11.25" customHeight="1">
      <c r="A67" s="92"/>
      <c r="B67" s="11"/>
      <c r="C67" s="92"/>
      <c r="D67" s="11"/>
      <c r="E67" s="11"/>
      <c r="F67" s="11"/>
      <c r="G67" s="11"/>
      <c r="H67" s="11"/>
      <c r="I67" s="11"/>
      <c r="J67" s="36"/>
      <c r="K67" s="11"/>
      <c r="L67" s="11"/>
      <c r="M67" s="11"/>
      <c r="N67" s="11"/>
      <c r="O67" s="11"/>
      <c r="P67" s="11"/>
      <c r="Q67" s="11"/>
      <c r="R67" s="11"/>
      <c r="S67" s="11"/>
      <c r="T67" s="11"/>
      <c r="U67" s="11"/>
      <c r="V67" s="11"/>
      <c r="W67" s="11"/>
      <c r="X67" s="11"/>
      <c r="Y67" s="11"/>
      <c r="Z67" s="11"/>
    </row>
    <row r="68" ht="11.25" customHeight="1">
      <c r="A68" s="92"/>
      <c r="B68" s="11"/>
      <c r="C68" s="92"/>
      <c r="D68" s="11"/>
      <c r="E68" s="11"/>
      <c r="F68" s="11"/>
      <c r="G68" s="11"/>
      <c r="H68" s="11"/>
      <c r="I68" s="11"/>
      <c r="J68" s="36"/>
      <c r="K68" s="11"/>
      <c r="L68" s="11"/>
      <c r="M68" s="11"/>
      <c r="N68" s="11"/>
      <c r="O68" s="11"/>
      <c r="P68" s="11"/>
      <c r="Q68" s="11"/>
      <c r="R68" s="11"/>
      <c r="S68" s="11"/>
      <c r="T68" s="11"/>
      <c r="U68" s="11"/>
      <c r="V68" s="11"/>
      <c r="W68" s="11"/>
      <c r="X68" s="11"/>
      <c r="Y68" s="11"/>
      <c r="Z68" s="11"/>
    </row>
    <row r="69" ht="11.25" customHeight="1">
      <c r="A69" s="92"/>
      <c r="B69" s="11"/>
      <c r="C69" s="92"/>
      <c r="D69" s="11"/>
      <c r="E69" s="11"/>
      <c r="F69" s="11"/>
      <c r="G69" s="11"/>
      <c r="H69" s="11"/>
      <c r="I69" s="11"/>
      <c r="J69" s="36"/>
      <c r="K69" s="11"/>
      <c r="L69" s="11"/>
      <c r="M69" s="11"/>
      <c r="N69" s="11"/>
      <c r="O69" s="11"/>
      <c r="P69" s="11"/>
      <c r="Q69" s="11"/>
      <c r="R69" s="11"/>
      <c r="S69" s="11"/>
      <c r="T69" s="11"/>
      <c r="U69" s="11"/>
      <c r="V69" s="11"/>
      <c r="W69" s="11"/>
      <c r="X69" s="11"/>
      <c r="Y69" s="11"/>
      <c r="Z69" s="11"/>
    </row>
    <row r="70" ht="11.25" customHeight="1">
      <c r="A70" s="92"/>
      <c r="B70" s="11"/>
      <c r="C70" s="92"/>
      <c r="D70" s="11"/>
      <c r="E70" s="11"/>
      <c r="F70" s="11"/>
      <c r="G70" s="11"/>
      <c r="H70" s="11"/>
      <c r="I70" s="11"/>
      <c r="J70" s="36"/>
      <c r="K70" s="11"/>
      <c r="L70" s="11"/>
      <c r="M70" s="11"/>
      <c r="N70" s="11"/>
      <c r="O70" s="11"/>
      <c r="P70" s="11"/>
      <c r="Q70" s="11"/>
      <c r="R70" s="11"/>
      <c r="S70" s="11"/>
      <c r="T70" s="11"/>
      <c r="U70" s="11"/>
      <c r="V70" s="11"/>
      <c r="W70" s="11"/>
      <c r="X70" s="11"/>
      <c r="Y70" s="11"/>
      <c r="Z70" s="11"/>
    </row>
    <row r="71" ht="11.25" customHeight="1">
      <c r="A71" s="92"/>
      <c r="B71" s="11"/>
      <c r="C71" s="92"/>
      <c r="D71" s="11"/>
      <c r="E71" s="11"/>
      <c r="F71" s="11"/>
      <c r="G71" s="11"/>
      <c r="H71" s="11"/>
      <c r="I71" s="11"/>
      <c r="J71" s="36"/>
      <c r="K71" s="11"/>
      <c r="L71" s="11"/>
      <c r="M71" s="11"/>
      <c r="N71" s="11"/>
      <c r="O71" s="11"/>
      <c r="P71" s="11"/>
      <c r="Q71" s="11"/>
      <c r="R71" s="11"/>
      <c r="S71" s="11"/>
      <c r="T71" s="11"/>
      <c r="U71" s="11"/>
      <c r="V71" s="11"/>
      <c r="W71" s="11"/>
      <c r="X71" s="11"/>
      <c r="Y71" s="11"/>
      <c r="Z71" s="11"/>
    </row>
    <row r="72" ht="11.25" customHeight="1">
      <c r="A72" s="92"/>
      <c r="B72" s="11"/>
      <c r="C72" s="92"/>
      <c r="D72" s="11"/>
      <c r="E72" s="11"/>
      <c r="F72" s="11"/>
      <c r="G72" s="11"/>
      <c r="H72" s="11"/>
      <c r="I72" s="11"/>
      <c r="J72" s="36"/>
      <c r="K72" s="11"/>
      <c r="L72" s="11"/>
      <c r="M72" s="11"/>
      <c r="N72" s="11"/>
      <c r="O72" s="11"/>
      <c r="P72" s="11"/>
      <c r="Q72" s="11"/>
      <c r="R72" s="11"/>
      <c r="S72" s="11"/>
      <c r="T72" s="11"/>
      <c r="U72" s="11"/>
      <c r="V72" s="11"/>
      <c r="W72" s="11"/>
      <c r="X72" s="11"/>
      <c r="Y72" s="11"/>
      <c r="Z72" s="11"/>
    </row>
    <row r="73" ht="11.25" customHeight="1">
      <c r="A73" s="92"/>
      <c r="B73" s="11"/>
      <c r="C73" s="92"/>
      <c r="D73" s="11"/>
      <c r="E73" s="11"/>
      <c r="F73" s="11"/>
      <c r="G73" s="11"/>
      <c r="H73" s="11"/>
      <c r="I73" s="11"/>
      <c r="J73" s="36"/>
      <c r="K73" s="11"/>
      <c r="L73" s="11"/>
      <c r="M73" s="11"/>
      <c r="N73" s="11"/>
      <c r="O73" s="11"/>
      <c r="P73" s="11"/>
      <c r="Q73" s="11"/>
      <c r="R73" s="11"/>
      <c r="S73" s="11"/>
      <c r="T73" s="11"/>
      <c r="U73" s="11"/>
      <c r="V73" s="11"/>
      <c r="W73" s="11"/>
      <c r="X73" s="11"/>
      <c r="Y73" s="11"/>
      <c r="Z73" s="11"/>
    </row>
    <row r="74" ht="11.25" customHeight="1">
      <c r="A74" s="92"/>
      <c r="B74" s="11"/>
      <c r="C74" s="92"/>
      <c r="D74" s="11"/>
      <c r="E74" s="11"/>
      <c r="F74" s="11"/>
      <c r="G74" s="11"/>
      <c r="H74" s="11"/>
      <c r="I74" s="11"/>
      <c r="J74" s="36"/>
      <c r="K74" s="11"/>
      <c r="L74" s="11"/>
      <c r="M74" s="11"/>
      <c r="N74" s="11"/>
      <c r="O74" s="11"/>
      <c r="P74" s="11"/>
      <c r="Q74" s="11"/>
      <c r="R74" s="11"/>
      <c r="S74" s="11"/>
      <c r="T74" s="11"/>
      <c r="U74" s="11"/>
      <c r="V74" s="11"/>
      <c r="W74" s="11"/>
      <c r="X74" s="11"/>
      <c r="Y74" s="11"/>
      <c r="Z74" s="11"/>
    </row>
    <row r="75" ht="11.25" customHeight="1">
      <c r="A75" s="92"/>
      <c r="B75" s="11"/>
      <c r="C75" s="92"/>
      <c r="D75" s="11"/>
      <c r="E75" s="11"/>
      <c r="F75" s="11"/>
      <c r="G75" s="11"/>
      <c r="H75" s="11"/>
      <c r="I75" s="11"/>
      <c r="J75" s="36"/>
      <c r="K75" s="11"/>
      <c r="L75" s="11"/>
      <c r="M75" s="11"/>
      <c r="N75" s="11"/>
      <c r="O75" s="11"/>
      <c r="P75" s="11"/>
      <c r="Q75" s="11"/>
      <c r="R75" s="11"/>
      <c r="S75" s="11"/>
      <c r="T75" s="11"/>
      <c r="U75" s="11"/>
      <c r="V75" s="11"/>
      <c r="W75" s="11"/>
      <c r="X75" s="11"/>
      <c r="Y75" s="11"/>
      <c r="Z75" s="11"/>
    </row>
    <row r="76" ht="11.25" customHeight="1">
      <c r="A76" s="92"/>
      <c r="B76" s="11"/>
      <c r="C76" s="92"/>
      <c r="D76" s="11"/>
      <c r="E76" s="11"/>
      <c r="F76" s="11"/>
      <c r="G76" s="11"/>
      <c r="H76" s="11"/>
      <c r="I76" s="11"/>
      <c r="J76" s="36"/>
      <c r="K76" s="11"/>
      <c r="L76" s="11"/>
      <c r="M76" s="11"/>
      <c r="N76" s="11"/>
      <c r="O76" s="11"/>
      <c r="P76" s="11"/>
      <c r="Q76" s="11"/>
      <c r="R76" s="11"/>
      <c r="S76" s="11"/>
      <c r="T76" s="11"/>
      <c r="U76" s="11"/>
      <c r="V76" s="11"/>
      <c r="W76" s="11"/>
      <c r="X76" s="11"/>
      <c r="Y76" s="11"/>
      <c r="Z76" s="11"/>
    </row>
    <row r="77" ht="11.25" customHeight="1">
      <c r="A77" s="92"/>
      <c r="B77" s="11"/>
      <c r="C77" s="92"/>
      <c r="D77" s="11"/>
      <c r="E77" s="11"/>
      <c r="F77" s="11"/>
      <c r="G77" s="11"/>
      <c r="H77" s="11"/>
      <c r="I77" s="11"/>
      <c r="J77" s="36"/>
      <c r="K77" s="11"/>
      <c r="L77" s="11"/>
      <c r="M77" s="11"/>
      <c r="N77" s="11"/>
      <c r="O77" s="11"/>
      <c r="P77" s="11"/>
      <c r="Q77" s="11"/>
      <c r="R77" s="11"/>
      <c r="S77" s="11"/>
      <c r="T77" s="11"/>
      <c r="U77" s="11"/>
      <c r="V77" s="11"/>
      <c r="W77" s="11"/>
      <c r="X77" s="11"/>
      <c r="Y77" s="11"/>
      <c r="Z77" s="11"/>
    </row>
    <row r="78" ht="11.25" customHeight="1">
      <c r="A78" s="92"/>
      <c r="B78" s="11"/>
      <c r="C78" s="92"/>
      <c r="D78" s="11"/>
      <c r="E78" s="11"/>
      <c r="F78" s="11"/>
      <c r="G78" s="11"/>
      <c r="H78" s="11"/>
      <c r="I78" s="11"/>
      <c r="J78" s="36"/>
      <c r="K78" s="11"/>
      <c r="L78" s="11"/>
      <c r="M78" s="11"/>
      <c r="N78" s="11"/>
      <c r="O78" s="11"/>
      <c r="P78" s="11"/>
      <c r="Q78" s="11"/>
      <c r="R78" s="11"/>
      <c r="S78" s="11"/>
      <c r="T78" s="11"/>
      <c r="U78" s="11"/>
      <c r="V78" s="11"/>
      <c r="W78" s="11"/>
      <c r="X78" s="11"/>
      <c r="Y78" s="11"/>
      <c r="Z78" s="11"/>
    </row>
    <row r="79" ht="11.25" customHeight="1">
      <c r="A79" s="92"/>
      <c r="B79" s="11"/>
      <c r="C79" s="92"/>
      <c r="D79" s="11"/>
      <c r="E79" s="11"/>
      <c r="F79" s="11"/>
      <c r="G79" s="11"/>
      <c r="H79" s="11"/>
      <c r="I79" s="11"/>
      <c r="J79" s="36"/>
      <c r="K79" s="11"/>
      <c r="L79" s="11"/>
      <c r="M79" s="11"/>
      <c r="N79" s="11"/>
      <c r="O79" s="11"/>
      <c r="P79" s="11"/>
      <c r="Q79" s="11"/>
      <c r="R79" s="11"/>
      <c r="S79" s="11"/>
      <c r="T79" s="11"/>
      <c r="U79" s="11"/>
      <c r="V79" s="11"/>
      <c r="W79" s="11"/>
      <c r="X79" s="11"/>
      <c r="Y79" s="11"/>
      <c r="Z79" s="11"/>
    </row>
    <row r="80" ht="11.25" customHeight="1">
      <c r="A80" s="92"/>
      <c r="B80" s="11"/>
      <c r="C80" s="92"/>
      <c r="D80" s="11"/>
      <c r="E80" s="11"/>
      <c r="F80" s="11"/>
      <c r="G80" s="11"/>
      <c r="H80" s="11"/>
      <c r="I80" s="11"/>
      <c r="J80" s="36"/>
      <c r="K80" s="11"/>
      <c r="L80" s="11"/>
      <c r="M80" s="11"/>
      <c r="N80" s="11"/>
      <c r="O80" s="11"/>
      <c r="P80" s="11"/>
      <c r="Q80" s="11"/>
      <c r="R80" s="11"/>
      <c r="S80" s="11"/>
      <c r="T80" s="11"/>
      <c r="U80" s="11"/>
      <c r="V80" s="11"/>
      <c r="W80" s="11"/>
      <c r="X80" s="11"/>
      <c r="Y80" s="11"/>
      <c r="Z80" s="11"/>
    </row>
    <row r="81" ht="11.25" customHeight="1">
      <c r="A81" s="92"/>
      <c r="B81" s="11"/>
      <c r="C81" s="92"/>
      <c r="D81" s="11"/>
      <c r="E81" s="11"/>
      <c r="F81" s="11"/>
      <c r="G81" s="11"/>
      <c r="H81" s="11"/>
      <c r="I81" s="11"/>
      <c r="J81" s="36"/>
      <c r="K81" s="11"/>
      <c r="L81" s="11"/>
      <c r="M81" s="11"/>
      <c r="N81" s="11"/>
      <c r="O81" s="11"/>
      <c r="P81" s="11"/>
      <c r="Q81" s="11"/>
      <c r="R81" s="11"/>
      <c r="S81" s="11"/>
      <c r="T81" s="11"/>
      <c r="U81" s="11"/>
      <c r="V81" s="11"/>
      <c r="W81" s="11"/>
      <c r="X81" s="11"/>
      <c r="Y81" s="11"/>
      <c r="Z81" s="11"/>
    </row>
    <row r="82" ht="11.25" customHeight="1">
      <c r="A82" s="92"/>
      <c r="B82" s="11"/>
      <c r="C82" s="92"/>
      <c r="D82" s="11"/>
      <c r="E82" s="11"/>
      <c r="F82" s="11"/>
      <c r="G82" s="11"/>
      <c r="H82" s="11"/>
      <c r="I82" s="11"/>
      <c r="J82" s="36"/>
      <c r="K82" s="11"/>
      <c r="L82" s="11"/>
      <c r="M82" s="11"/>
      <c r="N82" s="11"/>
      <c r="O82" s="11"/>
      <c r="P82" s="11"/>
      <c r="Q82" s="11"/>
      <c r="R82" s="11"/>
      <c r="S82" s="11"/>
      <c r="T82" s="11"/>
      <c r="U82" s="11"/>
      <c r="V82" s="11"/>
      <c r="W82" s="11"/>
      <c r="X82" s="11"/>
      <c r="Y82" s="11"/>
      <c r="Z82" s="11"/>
    </row>
    <row r="83" ht="11.25" customHeight="1">
      <c r="A83" s="92"/>
      <c r="B83" s="11"/>
      <c r="C83" s="92"/>
      <c r="D83" s="11"/>
      <c r="E83" s="11"/>
      <c r="F83" s="11"/>
      <c r="G83" s="11"/>
      <c r="H83" s="11"/>
      <c r="I83" s="11"/>
      <c r="J83" s="36"/>
      <c r="K83" s="11"/>
      <c r="L83" s="11"/>
      <c r="M83" s="11"/>
      <c r="N83" s="11"/>
      <c r="O83" s="11"/>
      <c r="P83" s="11"/>
      <c r="Q83" s="11"/>
      <c r="R83" s="11"/>
      <c r="S83" s="11"/>
      <c r="T83" s="11"/>
      <c r="U83" s="11"/>
      <c r="V83" s="11"/>
      <c r="W83" s="11"/>
      <c r="X83" s="11"/>
      <c r="Y83" s="11"/>
      <c r="Z83" s="11"/>
    </row>
    <row r="84" ht="11.25" customHeight="1">
      <c r="A84" s="92"/>
      <c r="B84" s="11"/>
      <c r="C84" s="92"/>
      <c r="D84" s="11"/>
      <c r="E84" s="11"/>
      <c r="F84" s="11"/>
      <c r="G84" s="11"/>
      <c r="H84" s="11"/>
      <c r="I84" s="11"/>
      <c r="J84" s="36"/>
      <c r="K84" s="11"/>
      <c r="L84" s="11"/>
      <c r="M84" s="11"/>
      <c r="N84" s="11"/>
      <c r="O84" s="11"/>
      <c r="P84" s="11"/>
      <c r="Q84" s="11"/>
      <c r="R84" s="11"/>
      <c r="S84" s="11"/>
      <c r="T84" s="11"/>
      <c r="U84" s="11"/>
      <c r="V84" s="11"/>
      <c r="W84" s="11"/>
      <c r="X84" s="11"/>
      <c r="Y84" s="11"/>
      <c r="Z84" s="11"/>
    </row>
    <row r="85" ht="11.25" customHeight="1">
      <c r="A85" s="92"/>
      <c r="B85" s="11"/>
      <c r="C85" s="92"/>
      <c r="D85" s="11"/>
      <c r="E85" s="11"/>
      <c r="F85" s="11"/>
      <c r="G85" s="11"/>
      <c r="H85" s="11"/>
      <c r="I85" s="11"/>
      <c r="J85" s="36"/>
      <c r="K85" s="11"/>
      <c r="L85" s="11"/>
      <c r="M85" s="11"/>
      <c r="N85" s="11"/>
      <c r="O85" s="11"/>
      <c r="P85" s="11"/>
      <c r="Q85" s="11"/>
      <c r="R85" s="11"/>
      <c r="S85" s="11"/>
      <c r="T85" s="11"/>
      <c r="U85" s="11"/>
      <c r="V85" s="11"/>
      <c r="W85" s="11"/>
      <c r="X85" s="11"/>
      <c r="Y85" s="11"/>
      <c r="Z85" s="11"/>
    </row>
    <row r="86" ht="11.25" customHeight="1">
      <c r="A86" s="92"/>
      <c r="B86" s="11"/>
      <c r="C86" s="92"/>
      <c r="D86" s="11"/>
      <c r="E86" s="11"/>
      <c r="F86" s="11"/>
      <c r="G86" s="11"/>
      <c r="H86" s="11"/>
      <c r="I86" s="11"/>
      <c r="J86" s="36"/>
      <c r="K86" s="11"/>
      <c r="L86" s="11"/>
      <c r="M86" s="11"/>
      <c r="N86" s="11"/>
      <c r="O86" s="11"/>
      <c r="P86" s="11"/>
      <c r="Q86" s="11"/>
      <c r="R86" s="11"/>
      <c r="S86" s="11"/>
      <c r="T86" s="11"/>
      <c r="U86" s="11"/>
      <c r="V86" s="11"/>
      <c r="W86" s="11"/>
      <c r="X86" s="11"/>
      <c r="Y86" s="11"/>
      <c r="Z86" s="11"/>
    </row>
    <row r="87" ht="11.25" customHeight="1">
      <c r="A87" s="92"/>
      <c r="B87" s="11"/>
      <c r="C87" s="92"/>
      <c r="D87" s="11"/>
      <c r="E87" s="11"/>
      <c r="F87" s="11"/>
      <c r="G87" s="11"/>
      <c r="H87" s="11"/>
      <c r="I87" s="11"/>
      <c r="J87" s="36"/>
      <c r="K87" s="11"/>
      <c r="L87" s="11"/>
      <c r="M87" s="11"/>
      <c r="N87" s="11"/>
      <c r="O87" s="11"/>
      <c r="P87" s="11"/>
      <c r="Q87" s="11"/>
      <c r="R87" s="11"/>
      <c r="S87" s="11"/>
      <c r="T87" s="11"/>
      <c r="U87" s="11"/>
      <c r="V87" s="11"/>
      <c r="W87" s="11"/>
      <c r="X87" s="11"/>
      <c r="Y87" s="11"/>
      <c r="Z87" s="11"/>
    </row>
    <row r="88" ht="11.25" customHeight="1">
      <c r="A88" s="92"/>
      <c r="B88" s="11"/>
      <c r="C88" s="92"/>
      <c r="D88" s="11"/>
      <c r="E88" s="11"/>
      <c r="F88" s="11"/>
      <c r="G88" s="11"/>
      <c r="H88" s="11"/>
      <c r="I88" s="11"/>
      <c r="J88" s="36"/>
      <c r="K88" s="11"/>
      <c r="L88" s="11"/>
      <c r="M88" s="11"/>
      <c r="N88" s="11"/>
      <c r="O88" s="11"/>
      <c r="P88" s="11"/>
      <c r="Q88" s="11"/>
      <c r="R88" s="11"/>
      <c r="S88" s="11"/>
      <c r="T88" s="11"/>
      <c r="U88" s="11"/>
      <c r="V88" s="11"/>
      <c r="W88" s="11"/>
      <c r="X88" s="11"/>
      <c r="Y88" s="11"/>
      <c r="Z88" s="11"/>
    </row>
    <row r="89" ht="11.25" customHeight="1">
      <c r="A89" s="92"/>
      <c r="B89" s="11"/>
      <c r="C89" s="92"/>
      <c r="D89" s="11"/>
      <c r="E89" s="11"/>
      <c r="F89" s="11"/>
      <c r="G89" s="11"/>
      <c r="H89" s="11"/>
      <c r="I89" s="11"/>
      <c r="J89" s="36"/>
      <c r="K89" s="11"/>
      <c r="L89" s="11"/>
      <c r="M89" s="11"/>
      <c r="N89" s="11"/>
      <c r="O89" s="11"/>
      <c r="P89" s="11"/>
      <c r="Q89" s="11"/>
      <c r="R89" s="11"/>
      <c r="S89" s="11"/>
      <c r="T89" s="11"/>
      <c r="U89" s="11"/>
      <c r="V89" s="11"/>
      <c r="W89" s="11"/>
      <c r="X89" s="11"/>
      <c r="Y89" s="11"/>
      <c r="Z89" s="11"/>
    </row>
    <row r="90" ht="11.25" customHeight="1">
      <c r="A90" s="92"/>
      <c r="B90" s="11"/>
      <c r="C90" s="92"/>
      <c r="D90" s="11"/>
      <c r="E90" s="11"/>
      <c r="F90" s="11"/>
      <c r="G90" s="11"/>
      <c r="H90" s="11"/>
      <c r="I90" s="11"/>
      <c r="J90" s="36"/>
      <c r="K90" s="11"/>
      <c r="L90" s="11"/>
      <c r="M90" s="11"/>
      <c r="N90" s="11"/>
      <c r="O90" s="11"/>
      <c r="P90" s="11"/>
      <c r="Q90" s="11"/>
      <c r="R90" s="11"/>
      <c r="S90" s="11"/>
      <c r="T90" s="11"/>
      <c r="U90" s="11"/>
      <c r="V90" s="11"/>
      <c r="W90" s="11"/>
      <c r="X90" s="11"/>
      <c r="Y90" s="11"/>
      <c r="Z90" s="11"/>
    </row>
    <row r="91" ht="11.25" customHeight="1">
      <c r="A91" s="92"/>
      <c r="B91" s="11"/>
      <c r="C91" s="92"/>
      <c r="D91" s="11"/>
      <c r="E91" s="11"/>
      <c r="F91" s="11"/>
      <c r="G91" s="11"/>
      <c r="H91" s="11"/>
      <c r="I91" s="11"/>
      <c r="J91" s="36"/>
      <c r="K91" s="11"/>
      <c r="L91" s="11"/>
      <c r="M91" s="11"/>
      <c r="N91" s="11"/>
      <c r="O91" s="11"/>
      <c r="P91" s="11"/>
      <c r="Q91" s="11"/>
      <c r="R91" s="11"/>
      <c r="S91" s="11"/>
      <c r="T91" s="11"/>
      <c r="U91" s="11"/>
      <c r="V91" s="11"/>
      <c r="W91" s="11"/>
      <c r="X91" s="11"/>
      <c r="Y91" s="11"/>
      <c r="Z91" s="11"/>
    </row>
    <row r="92" ht="11.25" customHeight="1">
      <c r="A92" s="92"/>
      <c r="B92" s="11"/>
      <c r="C92" s="92"/>
      <c r="D92" s="11"/>
      <c r="E92" s="11"/>
      <c r="F92" s="11"/>
      <c r="G92" s="11"/>
      <c r="H92" s="11"/>
      <c r="I92" s="11"/>
      <c r="J92" s="36"/>
      <c r="K92" s="11"/>
      <c r="L92" s="11"/>
      <c r="M92" s="11"/>
      <c r="N92" s="11"/>
      <c r="O92" s="11"/>
      <c r="P92" s="11"/>
      <c r="Q92" s="11"/>
      <c r="R92" s="11"/>
      <c r="S92" s="11"/>
      <c r="T92" s="11"/>
      <c r="U92" s="11"/>
      <c r="V92" s="11"/>
      <c r="W92" s="11"/>
      <c r="X92" s="11"/>
      <c r="Y92" s="11"/>
      <c r="Z92" s="11"/>
    </row>
    <row r="93" ht="11.25" customHeight="1">
      <c r="A93" s="92"/>
      <c r="B93" s="11"/>
      <c r="C93" s="92"/>
      <c r="D93" s="11"/>
      <c r="E93" s="11"/>
      <c r="F93" s="11"/>
      <c r="G93" s="11"/>
      <c r="H93" s="11"/>
      <c r="I93" s="11"/>
      <c r="J93" s="36"/>
      <c r="K93" s="11"/>
      <c r="L93" s="11"/>
      <c r="M93" s="11"/>
      <c r="N93" s="11"/>
      <c r="O93" s="11"/>
      <c r="P93" s="11"/>
      <c r="Q93" s="11"/>
      <c r="R93" s="11"/>
      <c r="S93" s="11"/>
      <c r="T93" s="11"/>
      <c r="U93" s="11"/>
      <c r="V93" s="11"/>
      <c r="W93" s="11"/>
      <c r="X93" s="11"/>
      <c r="Y93" s="11"/>
      <c r="Z93" s="11"/>
    </row>
    <row r="94" ht="11.25" customHeight="1">
      <c r="A94" s="92"/>
      <c r="B94" s="11"/>
      <c r="C94" s="92"/>
      <c r="D94" s="11"/>
      <c r="E94" s="11"/>
      <c r="F94" s="11"/>
      <c r="G94" s="11"/>
      <c r="H94" s="11"/>
      <c r="I94" s="11"/>
      <c r="J94" s="36"/>
      <c r="K94" s="11"/>
      <c r="L94" s="11"/>
      <c r="M94" s="11"/>
      <c r="N94" s="11"/>
      <c r="O94" s="11"/>
      <c r="P94" s="11"/>
      <c r="Q94" s="11"/>
      <c r="R94" s="11"/>
      <c r="S94" s="11"/>
      <c r="T94" s="11"/>
      <c r="U94" s="11"/>
      <c r="V94" s="11"/>
      <c r="W94" s="11"/>
      <c r="X94" s="11"/>
      <c r="Y94" s="11"/>
      <c r="Z94" s="11"/>
    </row>
    <row r="95" ht="11.25" customHeight="1">
      <c r="A95" s="92"/>
      <c r="B95" s="11"/>
      <c r="C95" s="92"/>
      <c r="D95" s="11"/>
      <c r="E95" s="11"/>
      <c r="F95" s="11"/>
      <c r="G95" s="11"/>
      <c r="H95" s="11"/>
      <c r="I95" s="11"/>
      <c r="J95" s="36"/>
      <c r="K95" s="11"/>
      <c r="L95" s="11"/>
      <c r="M95" s="11"/>
      <c r="N95" s="11"/>
      <c r="O95" s="11"/>
      <c r="P95" s="11"/>
      <c r="Q95" s="11"/>
      <c r="R95" s="11"/>
      <c r="S95" s="11"/>
      <c r="T95" s="11"/>
      <c r="U95" s="11"/>
      <c r="V95" s="11"/>
      <c r="W95" s="11"/>
      <c r="X95" s="11"/>
      <c r="Y95" s="11"/>
      <c r="Z95" s="11"/>
    </row>
    <row r="96" ht="11.25" customHeight="1">
      <c r="A96" s="92"/>
      <c r="B96" s="11"/>
      <c r="C96" s="92"/>
      <c r="D96" s="11"/>
      <c r="E96" s="11"/>
      <c r="F96" s="11"/>
      <c r="G96" s="11"/>
      <c r="H96" s="11"/>
      <c r="I96" s="11"/>
      <c r="J96" s="36"/>
      <c r="K96" s="11"/>
      <c r="L96" s="11"/>
      <c r="M96" s="11"/>
      <c r="N96" s="11"/>
      <c r="O96" s="11"/>
      <c r="P96" s="11"/>
      <c r="Q96" s="11"/>
      <c r="R96" s="11"/>
      <c r="S96" s="11"/>
      <c r="T96" s="11"/>
      <c r="U96" s="11"/>
      <c r="V96" s="11"/>
      <c r="W96" s="11"/>
      <c r="X96" s="11"/>
      <c r="Y96" s="11"/>
      <c r="Z96" s="11"/>
    </row>
    <row r="97" ht="11.25" customHeight="1">
      <c r="A97" s="92"/>
      <c r="B97" s="11"/>
      <c r="C97" s="92"/>
      <c r="D97" s="11"/>
      <c r="E97" s="11"/>
      <c r="F97" s="11"/>
      <c r="G97" s="11"/>
      <c r="H97" s="11"/>
      <c r="I97" s="11"/>
      <c r="J97" s="36"/>
      <c r="K97" s="11"/>
      <c r="L97" s="11"/>
      <c r="M97" s="11"/>
      <c r="N97" s="11"/>
      <c r="O97" s="11"/>
      <c r="P97" s="11"/>
      <c r="Q97" s="11"/>
      <c r="R97" s="11"/>
      <c r="S97" s="11"/>
      <c r="T97" s="11"/>
      <c r="U97" s="11"/>
      <c r="V97" s="11"/>
      <c r="W97" s="11"/>
      <c r="X97" s="11"/>
      <c r="Y97" s="11"/>
      <c r="Z97" s="11"/>
    </row>
    <row r="98" ht="11.25" customHeight="1">
      <c r="A98" s="92"/>
      <c r="B98" s="11"/>
      <c r="C98" s="92"/>
      <c r="D98" s="11"/>
      <c r="E98" s="11"/>
      <c r="F98" s="11"/>
      <c r="G98" s="11"/>
      <c r="H98" s="11"/>
      <c r="I98" s="11"/>
      <c r="J98" s="36"/>
      <c r="K98" s="11"/>
      <c r="L98" s="11"/>
      <c r="M98" s="11"/>
      <c r="N98" s="11"/>
      <c r="O98" s="11"/>
      <c r="P98" s="11"/>
      <c r="Q98" s="11"/>
      <c r="R98" s="11"/>
      <c r="S98" s="11"/>
      <c r="T98" s="11"/>
      <c r="U98" s="11"/>
      <c r="V98" s="11"/>
      <c r="W98" s="11"/>
      <c r="X98" s="11"/>
      <c r="Y98" s="11"/>
      <c r="Z98" s="11"/>
    </row>
    <row r="99" ht="11.25" customHeight="1">
      <c r="A99" s="92"/>
      <c r="B99" s="11"/>
      <c r="C99" s="92"/>
      <c r="D99" s="11"/>
      <c r="E99" s="11"/>
      <c r="F99" s="11"/>
      <c r="G99" s="11"/>
      <c r="H99" s="11"/>
      <c r="I99" s="11"/>
      <c r="J99" s="36"/>
      <c r="K99" s="11"/>
      <c r="L99" s="11"/>
      <c r="M99" s="11"/>
      <c r="N99" s="11"/>
      <c r="O99" s="11"/>
      <c r="P99" s="11"/>
      <c r="Q99" s="11"/>
      <c r="R99" s="11"/>
      <c r="S99" s="11"/>
      <c r="T99" s="11"/>
      <c r="U99" s="11"/>
      <c r="V99" s="11"/>
      <c r="W99" s="11"/>
      <c r="X99" s="11"/>
      <c r="Y99" s="11"/>
      <c r="Z99" s="11"/>
    </row>
    <row r="100" ht="11.25" customHeight="1">
      <c r="A100" s="92"/>
      <c r="B100" s="11"/>
      <c r="C100" s="92"/>
      <c r="D100" s="11"/>
      <c r="E100" s="11"/>
      <c r="F100" s="11"/>
      <c r="G100" s="11"/>
      <c r="H100" s="11"/>
      <c r="I100" s="11"/>
      <c r="J100" s="36"/>
      <c r="K100" s="11"/>
      <c r="L100" s="11"/>
      <c r="M100" s="11"/>
      <c r="N100" s="11"/>
      <c r="O100" s="11"/>
      <c r="P100" s="11"/>
      <c r="Q100" s="11"/>
      <c r="R100" s="11"/>
      <c r="S100" s="11"/>
      <c r="T100" s="11"/>
      <c r="U100" s="11"/>
      <c r="V100" s="11"/>
      <c r="W100" s="11"/>
      <c r="X100" s="11"/>
      <c r="Y100" s="11"/>
      <c r="Z100" s="11"/>
    </row>
    <row r="101" ht="11.25" customHeight="1">
      <c r="A101" s="92"/>
      <c r="B101" s="11"/>
      <c r="C101" s="92"/>
      <c r="D101" s="11"/>
      <c r="E101" s="11"/>
      <c r="F101" s="11"/>
      <c r="G101" s="11"/>
      <c r="H101" s="11"/>
      <c r="I101" s="11"/>
      <c r="J101" s="36"/>
      <c r="K101" s="11"/>
      <c r="L101" s="11"/>
      <c r="M101" s="11"/>
      <c r="N101" s="11"/>
      <c r="O101" s="11"/>
      <c r="P101" s="11"/>
      <c r="Q101" s="11"/>
      <c r="R101" s="11"/>
      <c r="S101" s="11"/>
      <c r="T101" s="11"/>
      <c r="U101" s="11"/>
      <c r="V101" s="11"/>
      <c r="W101" s="11"/>
      <c r="X101" s="11"/>
      <c r="Y101" s="11"/>
      <c r="Z101" s="11"/>
    </row>
    <row r="102" ht="11.25" customHeight="1">
      <c r="A102" s="92"/>
      <c r="B102" s="11"/>
      <c r="C102" s="92"/>
      <c r="D102" s="11"/>
      <c r="E102" s="11"/>
      <c r="F102" s="11"/>
      <c r="G102" s="11"/>
      <c r="H102" s="11"/>
      <c r="I102" s="11"/>
      <c r="J102" s="36"/>
      <c r="K102" s="11"/>
      <c r="L102" s="11"/>
      <c r="M102" s="11"/>
      <c r="N102" s="11"/>
      <c r="O102" s="11"/>
      <c r="P102" s="11"/>
      <c r="Q102" s="11"/>
      <c r="R102" s="11"/>
      <c r="S102" s="11"/>
      <c r="T102" s="11"/>
      <c r="U102" s="11"/>
      <c r="V102" s="11"/>
      <c r="W102" s="11"/>
      <c r="X102" s="11"/>
      <c r="Y102" s="11"/>
      <c r="Z102" s="11"/>
    </row>
    <row r="103" ht="11.25" customHeight="1">
      <c r="A103" s="92"/>
      <c r="B103" s="11"/>
      <c r="C103" s="92"/>
      <c r="D103" s="11"/>
      <c r="E103" s="11"/>
      <c r="F103" s="11"/>
      <c r="G103" s="11"/>
      <c r="H103" s="11"/>
      <c r="I103" s="11"/>
      <c r="J103" s="36"/>
      <c r="K103" s="11"/>
      <c r="L103" s="11"/>
      <c r="M103" s="11"/>
      <c r="N103" s="11"/>
      <c r="O103" s="11"/>
      <c r="P103" s="11"/>
      <c r="Q103" s="11"/>
      <c r="R103" s="11"/>
      <c r="S103" s="11"/>
      <c r="T103" s="11"/>
      <c r="U103" s="11"/>
      <c r="V103" s="11"/>
      <c r="W103" s="11"/>
      <c r="X103" s="11"/>
      <c r="Y103" s="11"/>
      <c r="Z103" s="11"/>
    </row>
    <row r="104" ht="11.25" customHeight="1">
      <c r="A104" s="92"/>
      <c r="B104" s="11"/>
      <c r="C104" s="92"/>
      <c r="D104" s="11"/>
      <c r="E104" s="11"/>
      <c r="F104" s="11"/>
      <c r="G104" s="11"/>
      <c r="H104" s="11"/>
      <c r="I104" s="11"/>
      <c r="J104" s="36"/>
      <c r="K104" s="11"/>
      <c r="L104" s="11"/>
      <c r="M104" s="11"/>
      <c r="N104" s="11"/>
      <c r="O104" s="11"/>
      <c r="P104" s="11"/>
      <c r="Q104" s="11"/>
      <c r="R104" s="11"/>
      <c r="S104" s="11"/>
      <c r="T104" s="11"/>
      <c r="U104" s="11"/>
      <c r="V104" s="11"/>
      <c r="W104" s="11"/>
      <c r="X104" s="11"/>
      <c r="Y104" s="11"/>
      <c r="Z104" s="11"/>
    </row>
    <row r="105" ht="11.25" customHeight="1">
      <c r="A105" s="92"/>
      <c r="B105" s="11"/>
      <c r="C105" s="92"/>
      <c r="D105" s="11"/>
      <c r="E105" s="11"/>
      <c r="F105" s="11"/>
      <c r="G105" s="11"/>
      <c r="H105" s="11"/>
      <c r="I105" s="11"/>
      <c r="J105" s="36"/>
      <c r="K105" s="11"/>
      <c r="L105" s="11"/>
      <c r="M105" s="11"/>
      <c r="N105" s="11"/>
      <c r="O105" s="11"/>
      <c r="P105" s="11"/>
      <c r="Q105" s="11"/>
      <c r="R105" s="11"/>
      <c r="S105" s="11"/>
      <c r="T105" s="11"/>
      <c r="U105" s="11"/>
      <c r="V105" s="11"/>
      <c r="W105" s="11"/>
      <c r="X105" s="11"/>
      <c r="Y105" s="11"/>
      <c r="Z105" s="11"/>
    </row>
    <row r="106" ht="11.25" customHeight="1">
      <c r="A106" s="92"/>
      <c r="B106" s="11"/>
      <c r="C106" s="92"/>
      <c r="D106" s="11"/>
      <c r="E106" s="11"/>
      <c r="F106" s="11"/>
      <c r="G106" s="11"/>
      <c r="H106" s="11"/>
      <c r="I106" s="11"/>
      <c r="J106" s="36"/>
      <c r="K106" s="11"/>
      <c r="L106" s="11"/>
      <c r="M106" s="11"/>
      <c r="N106" s="11"/>
      <c r="O106" s="11"/>
      <c r="P106" s="11"/>
      <c r="Q106" s="11"/>
      <c r="R106" s="11"/>
      <c r="S106" s="11"/>
      <c r="T106" s="11"/>
      <c r="U106" s="11"/>
      <c r="V106" s="11"/>
      <c r="W106" s="11"/>
      <c r="X106" s="11"/>
      <c r="Y106" s="11"/>
      <c r="Z106" s="11"/>
    </row>
    <row r="107" ht="11.25" customHeight="1">
      <c r="A107" s="92"/>
      <c r="B107" s="11"/>
      <c r="C107" s="92"/>
      <c r="D107" s="11"/>
      <c r="E107" s="11"/>
      <c r="F107" s="11"/>
      <c r="G107" s="11"/>
      <c r="H107" s="11"/>
      <c r="I107" s="11"/>
      <c r="J107" s="36"/>
      <c r="K107" s="11"/>
      <c r="L107" s="11"/>
      <c r="M107" s="11"/>
      <c r="N107" s="11"/>
      <c r="O107" s="11"/>
      <c r="P107" s="11"/>
      <c r="Q107" s="11"/>
      <c r="R107" s="11"/>
      <c r="S107" s="11"/>
      <c r="T107" s="11"/>
      <c r="U107" s="11"/>
      <c r="V107" s="11"/>
      <c r="W107" s="11"/>
      <c r="X107" s="11"/>
      <c r="Y107" s="11"/>
      <c r="Z107" s="11"/>
    </row>
    <row r="108" ht="11.25" customHeight="1">
      <c r="A108" s="92"/>
      <c r="B108" s="11"/>
      <c r="C108" s="92"/>
      <c r="D108" s="11"/>
      <c r="E108" s="11"/>
      <c r="F108" s="11"/>
      <c r="G108" s="11"/>
      <c r="H108" s="11"/>
      <c r="I108" s="11"/>
      <c r="J108" s="36"/>
      <c r="K108" s="11"/>
      <c r="L108" s="11"/>
      <c r="M108" s="11"/>
      <c r="N108" s="11"/>
      <c r="O108" s="11"/>
      <c r="P108" s="11"/>
      <c r="Q108" s="11"/>
      <c r="R108" s="11"/>
      <c r="S108" s="11"/>
      <c r="T108" s="11"/>
      <c r="U108" s="11"/>
      <c r="V108" s="11"/>
      <c r="W108" s="11"/>
      <c r="X108" s="11"/>
      <c r="Y108" s="11"/>
      <c r="Z108" s="11"/>
    </row>
    <row r="109" ht="11.25" customHeight="1">
      <c r="A109" s="92"/>
      <c r="B109" s="11"/>
      <c r="C109" s="92"/>
      <c r="D109" s="11"/>
      <c r="E109" s="11"/>
      <c r="F109" s="11"/>
      <c r="G109" s="11"/>
      <c r="H109" s="11"/>
      <c r="I109" s="11"/>
      <c r="J109" s="36"/>
      <c r="K109" s="11"/>
      <c r="L109" s="11"/>
      <c r="M109" s="11"/>
      <c r="N109" s="11"/>
      <c r="O109" s="11"/>
      <c r="P109" s="11"/>
      <c r="Q109" s="11"/>
      <c r="R109" s="11"/>
      <c r="S109" s="11"/>
      <c r="T109" s="11"/>
      <c r="U109" s="11"/>
      <c r="V109" s="11"/>
      <c r="W109" s="11"/>
      <c r="X109" s="11"/>
      <c r="Y109" s="11"/>
      <c r="Z109" s="11"/>
    </row>
    <row r="110" ht="11.25" customHeight="1">
      <c r="A110" s="92"/>
      <c r="B110" s="11"/>
      <c r="C110" s="92"/>
      <c r="D110" s="11"/>
      <c r="E110" s="11"/>
      <c r="F110" s="11"/>
      <c r="G110" s="11"/>
      <c r="H110" s="11"/>
      <c r="I110" s="11"/>
      <c r="J110" s="36"/>
      <c r="K110" s="11"/>
      <c r="L110" s="11"/>
      <c r="M110" s="11"/>
      <c r="N110" s="11"/>
      <c r="O110" s="11"/>
      <c r="P110" s="11"/>
      <c r="Q110" s="11"/>
      <c r="R110" s="11"/>
      <c r="S110" s="11"/>
      <c r="T110" s="11"/>
      <c r="U110" s="11"/>
      <c r="V110" s="11"/>
      <c r="W110" s="11"/>
      <c r="X110" s="11"/>
      <c r="Y110" s="11"/>
      <c r="Z110" s="11"/>
    </row>
    <row r="111" ht="11.25" customHeight="1">
      <c r="A111" s="92"/>
      <c r="B111" s="11"/>
      <c r="C111" s="92"/>
      <c r="D111" s="11"/>
      <c r="E111" s="11"/>
      <c r="F111" s="11"/>
      <c r="G111" s="11"/>
      <c r="H111" s="11"/>
      <c r="I111" s="11"/>
      <c r="J111" s="36"/>
      <c r="K111" s="11"/>
      <c r="L111" s="11"/>
      <c r="M111" s="11"/>
      <c r="N111" s="11"/>
      <c r="O111" s="11"/>
      <c r="P111" s="11"/>
      <c r="Q111" s="11"/>
      <c r="R111" s="11"/>
      <c r="S111" s="11"/>
      <c r="T111" s="11"/>
      <c r="U111" s="11"/>
      <c r="V111" s="11"/>
      <c r="W111" s="11"/>
      <c r="X111" s="11"/>
      <c r="Y111" s="11"/>
      <c r="Z111" s="11"/>
    </row>
    <row r="112" ht="11.25" customHeight="1">
      <c r="A112" s="92"/>
      <c r="B112" s="11"/>
      <c r="C112" s="92"/>
      <c r="D112" s="11"/>
      <c r="E112" s="11"/>
      <c r="F112" s="11"/>
      <c r="G112" s="11"/>
      <c r="H112" s="11"/>
      <c r="I112" s="11"/>
      <c r="J112" s="36"/>
      <c r="K112" s="11"/>
      <c r="L112" s="11"/>
      <c r="M112" s="11"/>
      <c r="N112" s="11"/>
      <c r="O112" s="11"/>
      <c r="P112" s="11"/>
      <c r="Q112" s="11"/>
      <c r="R112" s="11"/>
      <c r="S112" s="11"/>
      <c r="T112" s="11"/>
      <c r="U112" s="11"/>
      <c r="V112" s="11"/>
      <c r="W112" s="11"/>
      <c r="X112" s="11"/>
      <c r="Y112" s="11"/>
      <c r="Z112" s="11"/>
    </row>
    <row r="113" ht="11.25" customHeight="1">
      <c r="A113" s="92"/>
      <c r="B113" s="11"/>
      <c r="C113" s="92"/>
      <c r="D113" s="11"/>
      <c r="E113" s="11"/>
      <c r="F113" s="11"/>
      <c r="G113" s="11"/>
      <c r="H113" s="11"/>
      <c r="I113" s="11"/>
      <c r="J113" s="36"/>
      <c r="K113" s="11"/>
      <c r="L113" s="11"/>
      <c r="M113" s="11"/>
      <c r="N113" s="11"/>
      <c r="O113" s="11"/>
      <c r="P113" s="11"/>
      <c r="Q113" s="11"/>
      <c r="R113" s="11"/>
      <c r="S113" s="11"/>
      <c r="T113" s="11"/>
      <c r="U113" s="11"/>
      <c r="V113" s="11"/>
      <c r="W113" s="11"/>
      <c r="X113" s="11"/>
      <c r="Y113" s="11"/>
      <c r="Z113" s="11"/>
    </row>
    <row r="114" ht="11.25" customHeight="1">
      <c r="A114" s="92"/>
      <c r="B114" s="11"/>
      <c r="C114" s="92"/>
      <c r="D114" s="11"/>
      <c r="E114" s="11"/>
      <c r="F114" s="11"/>
      <c r="G114" s="11"/>
      <c r="H114" s="11"/>
      <c r="I114" s="11"/>
      <c r="J114" s="36"/>
      <c r="K114" s="11"/>
      <c r="L114" s="11"/>
      <c r="M114" s="11"/>
      <c r="N114" s="11"/>
      <c r="O114" s="11"/>
      <c r="P114" s="11"/>
      <c r="Q114" s="11"/>
      <c r="R114" s="11"/>
      <c r="S114" s="11"/>
      <c r="T114" s="11"/>
      <c r="U114" s="11"/>
      <c r="V114" s="11"/>
      <c r="W114" s="11"/>
      <c r="X114" s="11"/>
      <c r="Y114" s="11"/>
      <c r="Z114" s="11"/>
    </row>
    <row r="115" ht="11.25" customHeight="1">
      <c r="A115" s="92"/>
      <c r="B115" s="11"/>
      <c r="C115" s="92"/>
      <c r="D115" s="11"/>
      <c r="E115" s="11"/>
      <c r="F115" s="11"/>
      <c r="G115" s="11"/>
      <c r="H115" s="11"/>
      <c r="I115" s="11"/>
      <c r="J115" s="36"/>
      <c r="K115" s="11"/>
      <c r="L115" s="11"/>
      <c r="M115" s="11"/>
      <c r="N115" s="11"/>
      <c r="O115" s="11"/>
      <c r="P115" s="11"/>
      <c r="Q115" s="11"/>
      <c r="R115" s="11"/>
      <c r="S115" s="11"/>
      <c r="T115" s="11"/>
      <c r="U115" s="11"/>
      <c r="V115" s="11"/>
      <c r="W115" s="11"/>
      <c r="X115" s="11"/>
      <c r="Y115" s="11"/>
      <c r="Z115" s="11"/>
    </row>
    <row r="116" ht="11.25" customHeight="1">
      <c r="A116" s="92"/>
      <c r="B116" s="11"/>
      <c r="C116" s="92"/>
      <c r="D116" s="11"/>
      <c r="E116" s="11"/>
      <c r="F116" s="11"/>
      <c r="G116" s="11"/>
      <c r="H116" s="11"/>
      <c r="I116" s="11"/>
      <c r="J116" s="36"/>
      <c r="K116" s="11"/>
      <c r="L116" s="11"/>
      <c r="M116" s="11"/>
      <c r="N116" s="11"/>
      <c r="O116" s="11"/>
      <c r="P116" s="11"/>
      <c r="Q116" s="11"/>
      <c r="R116" s="11"/>
      <c r="S116" s="11"/>
      <c r="T116" s="11"/>
      <c r="U116" s="11"/>
      <c r="V116" s="11"/>
      <c r="W116" s="11"/>
      <c r="X116" s="11"/>
      <c r="Y116" s="11"/>
      <c r="Z116" s="11"/>
    </row>
    <row r="117" ht="11.25" customHeight="1">
      <c r="A117" s="92"/>
      <c r="B117" s="11"/>
      <c r="C117" s="92"/>
      <c r="D117" s="11"/>
      <c r="E117" s="11"/>
      <c r="F117" s="11"/>
      <c r="G117" s="11"/>
      <c r="H117" s="11"/>
      <c r="I117" s="11"/>
      <c r="J117" s="36"/>
      <c r="K117" s="11"/>
      <c r="L117" s="11"/>
      <c r="M117" s="11"/>
      <c r="N117" s="11"/>
      <c r="O117" s="11"/>
      <c r="P117" s="11"/>
      <c r="Q117" s="11"/>
      <c r="R117" s="11"/>
      <c r="S117" s="11"/>
      <c r="T117" s="11"/>
      <c r="U117" s="11"/>
      <c r="V117" s="11"/>
      <c r="W117" s="11"/>
      <c r="X117" s="11"/>
      <c r="Y117" s="11"/>
      <c r="Z117" s="11"/>
    </row>
    <row r="118" ht="11.25" customHeight="1">
      <c r="A118" s="92"/>
      <c r="B118" s="11"/>
      <c r="C118" s="92"/>
      <c r="D118" s="11"/>
      <c r="E118" s="11"/>
      <c r="F118" s="11"/>
      <c r="G118" s="11"/>
      <c r="H118" s="11"/>
      <c r="I118" s="11"/>
      <c r="J118" s="36"/>
      <c r="K118" s="11"/>
      <c r="L118" s="11"/>
      <c r="M118" s="11"/>
      <c r="N118" s="11"/>
      <c r="O118" s="11"/>
      <c r="P118" s="11"/>
      <c r="Q118" s="11"/>
      <c r="R118" s="11"/>
      <c r="S118" s="11"/>
      <c r="T118" s="11"/>
      <c r="U118" s="11"/>
      <c r="V118" s="11"/>
      <c r="W118" s="11"/>
      <c r="X118" s="11"/>
      <c r="Y118" s="11"/>
      <c r="Z118" s="11"/>
    </row>
    <row r="119" ht="11.25" customHeight="1">
      <c r="A119" s="92"/>
      <c r="B119" s="11"/>
      <c r="C119" s="92"/>
      <c r="D119" s="11"/>
      <c r="E119" s="11"/>
      <c r="F119" s="11"/>
      <c r="G119" s="11"/>
      <c r="H119" s="11"/>
      <c r="I119" s="11"/>
      <c r="J119" s="36"/>
      <c r="K119" s="11"/>
      <c r="L119" s="11"/>
      <c r="M119" s="11"/>
      <c r="N119" s="11"/>
      <c r="O119" s="11"/>
      <c r="P119" s="11"/>
      <c r="Q119" s="11"/>
      <c r="R119" s="11"/>
      <c r="S119" s="11"/>
      <c r="T119" s="11"/>
      <c r="U119" s="11"/>
      <c r="V119" s="11"/>
      <c r="W119" s="11"/>
      <c r="X119" s="11"/>
      <c r="Y119" s="11"/>
      <c r="Z119" s="11"/>
    </row>
    <row r="120" ht="11.25" customHeight="1">
      <c r="A120" s="92"/>
      <c r="B120" s="11"/>
      <c r="C120" s="92"/>
      <c r="D120" s="11"/>
      <c r="E120" s="11"/>
      <c r="F120" s="11"/>
      <c r="G120" s="11"/>
      <c r="H120" s="11"/>
      <c r="I120" s="11"/>
      <c r="J120" s="36"/>
      <c r="K120" s="11"/>
      <c r="L120" s="11"/>
      <c r="M120" s="11"/>
      <c r="N120" s="11"/>
      <c r="O120" s="11"/>
      <c r="P120" s="11"/>
      <c r="Q120" s="11"/>
      <c r="R120" s="11"/>
      <c r="S120" s="11"/>
      <c r="T120" s="11"/>
      <c r="U120" s="11"/>
      <c r="V120" s="11"/>
      <c r="W120" s="11"/>
      <c r="X120" s="11"/>
      <c r="Y120" s="11"/>
      <c r="Z120" s="11"/>
    </row>
    <row r="121" ht="11.25" customHeight="1">
      <c r="A121" s="92"/>
      <c r="B121" s="11"/>
      <c r="C121" s="92"/>
      <c r="D121" s="11"/>
      <c r="E121" s="11"/>
      <c r="F121" s="11"/>
      <c r="G121" s="11"/>
      <c r="H121" s="11"/>
      <c r="I121" s="11"/>
      <c r="J121" s="36"/>
      <c r="K121" s="11"/>
      <c r="L121" s="11"/>
      <c r="M121" s="11"/>
      <c r="N121" s="11"/>
      <c r="O121" s="11"/>
      <c r="P121" s="11"/>
      <c r="Q121" s="11"/>
      <c r="R121" s="11"/>
      <c r="S121" s="11"/>
      <c r="T121" s="11"/>
      <c r="U121" s="11"/>
      <c r="V121" s="11"/>
      <c r="W121" s="11"/>
      <c r="X121" s="11"/>
      <c r="Y121" s="11"/>
      <c r="Z121" s="11"/>
    </row>
    <row r="122" ht="11.25" customHeight="1">
      <c r="A122" s="92"/>
      <c r="B122" s="11"/>
      <c r="C122" s="92"/>
      <c r="D122" s="11"/>
      <c r="E122" s="11"/>
      <c r="F122" s="11"/>
      <c r="G122" s="11"/>
      <c r="H122" s="11"/>
      <c r="I122" s="11"/>
      <c r="J122" s="36"/>
      <c r="K122" s="11"/>
      <c r="L122" s="11"/>
      <c r="M122" s="11"/>
      <c r="N122" s="11"/>
      <c r="O122" s="11"/>
      <c r="P122" s="11"/>
      <c r="Q122" s="11"/>
      <c r="R122" s="11"/>
      <c r="S122" s="11"/>
      <c r="T122" s="11"/>
      <c r="U122" s="11"/>
      <c r="V122" s="11"/>
      <c r="W122" s="11"/>
      <c r="X122" s="11"/>
      <c r="Y122" s="11"/>
      <c r="Z122" s="11"/>
    </row>
    <row r="123" ht="11.25" customHeight="1">
      <c r="A123" s="92"/>
      <c r="B123" s="11"/>
      <c r="C123" s="92"/>
      <c r="D123" s="11"/>
      <c r="E123" s="11"/>
      <c r="F123" s="11"/>
      <c r="G123" s="11"/>
      <c r="H123" s="11"/>
      <c r="I123" s="11"/>
      <c r="J123" s="36"/>
      <c r="K123" s="11"/>
      <c r="L123" s="11"/>
      <c r="M123" s="11"/>
      <c r="N123" s="11"/>
      <c r="O123" s="11"/>
      <c r="P123" s="11"/>
      <c r="Q123" s="11"/>
      <c r="R123" s="11"/>
      <c r="S123" s="11"/>
      <c r="T123" s="11"/>
      <c r="U123" s="11"/>
      <c r="V123" s="11"/>
      <c r="W123" s="11"/>
      <c r="X123" s="11"/>
      <c r="Y123" s="11"/>
      <c r="Z123" s="11"/>
    </row>
    <row r="124" ht="11.25" customHeight="1">
      <c r="A124" s="92"/>
      <c r="B124" s="11"/>
      <c r="C124" s="92"/>
      <c r="D124" s="11"/>
      <c r="E124" s="11"/>
      <c r="F124" s="11"/>
      <c r="G124" s="11"/>
      <c r="H124" s="11"/>
      <c r="I124" s="11"/>
      <c r="J124" s="36"/>
      <c r="K124" s="11"/>
      <c r="L124" s="11"/>
      <c r="M124" s="11"/>
      <c r="N124" s="11"/>
      <c r="O124" s="11"/>
      <c r="P124" s="11"/>
      <c r="Q124" s="11"/>
      <c r="R124" s="11"/>
      <c r="S124" s="11"/>
      <c r="T124" s="11"/>
      <c r="U124" s="11"/>
      <c r="V124" s="11"/>
      <c r="W124" s="11"/>
      <c r="X124" s="11"/>
      <c r="Y124" s="11"/>
      <c r="Z124" s="11"/>
    </row>
    <row r="125" ht="11.25" customHeight="1">
      <c r="A125" s="92"/>
      <c r="B125" s="11"/>
      <c r="C125" s="92"/>
      <c r="D125" s="11"/>
      <c r="E125" s="11"/>
      <c r="F125" s="11"/>
      <c r="G125" s="11"/>
      <c r="H125" s="11"/>
      <c r="I125" s="11"/>
      <c r="J125" s="36"/>
      <c r="K125" s="11"/>
      <c r="L125" s="11"/>
      <c r="M125" s="11"/>
      <c r="N125" s="11"/>
      <c r="O125" s="11"/>
      <c r="P125" s="11"/>
      <c r="Q125" s="11"/>
      <c r="R125" s="11"/>
      <c r="S125" s="11"/>
      <c r="T125" s="11"/>
      <c r="U125" s="11"/>
      <c r="V125" s="11"/>
      <c r="W125" s="11"/>
      <c r="X125" s="11"/>
      <c r="Y125" s="11"/>
      <c r="Z125" s="11"/>
    </row>
    <row r="126" ht="11.25" customHeight="1">
      <c r="A126" s="92"/>
      <c r="B126" s="11"/>
      <c r="C126" s="92"/>
      <c r="D126" s="11"/>
      <c r="E126" s="11"/>
      <c r="F126" s="11"/>
      <c r="G126" s="11"/>
      <c r="H126" s="11"/>
      <c r="I126" s="11"/>
      <c r="J126" s="36"/>
      <c r="K126" s="11"/>
      <c r="L126" s="11"/>
      <c r="M126" s="11"/>
      <c r="N126" s="11"/>
      <c r="O126" s="11"/>
      <c r="P126" s="11"/>
      <c r="Q126" s="11"/>
      <c r="R126" s="11"/>
      <c r="S126" s="11"/>
      <c r="T126" s="11"/>
      <c r="U126" s="11"/>
      <c r="V126" s="11"/>
      <c r="W126" s="11"/>
      <c r="X126" s="11"/>
      <c r="Y126" s="11"/>
      <c r="Z126" s="11"/>
    </row>
    <row r="127" ht="11.25" customHeight="1">
      <c r="A127" s="92"/>
      <c r="B127" s="11"/>
      <c r="C127" s="92"/>
      <c r="D127" s="11"/>
      <c r="E127" s="11"/>
      <c r="F127" s="11"/>
      <c r="G127" s="11"/>
      <c r="H127" s="11"/>
      <c r="I127" s="11"/>
      <c r="J127" s="36"/>
      <c r="K127" s="11"/>
      <c r="L127" s="11"/>
      <c r="M127" s="11"/>
      <c r="N127" s="11"/>
      <c r="O127" s="11"/>
      <c r="P127" s="11"/>
      <c r="Q127" s="11"/>
      <c r="R127" s="11"/>
      <c r="S127" s="11"/>
      <c r="T127" s="11"/>
      <c r="U127" s="11"/>
      <c r="V127" s="11"/>
      <c r="W127" s="11"/>
      <c r="X127" s="11"/>
      <c r="Y127" s="11"/>
      <c r="Z127" s="11"/>
    </row>
    <row r="128" ht="11.25" customHeight="1">
      <c r="A128" s="92"/>
      <c r="B128" s="11"/>
      <c r="C128" s="92"/>
      <c r="D128" s="11"/>
      <c r="E128" s="11"/>
      <c r="F128" s="11"/>
      <c r="G128" s="11"/>
      <c r="H128" s="11"/>
      <c r="I128" s="11"/>
      <c r="J128" s="36"/>
      <c r="K128" s="11"/>
      <c r="L128" s="11"/>
      <c r="M128" s="11"/>
      <c r="N128" s="11"/>
      <c r="O128" s="11"/>
      <c r="P128" s="11"/>
      <c r="Q128" s="11"/>
      <c r="R128" s="11"/>
      <c r="S128" s="11"/>
      <c r="T128" s="11"/>
      <c r="U128" s="11"/>
      <c r="V128" s="11"/>
      <c r="W128" s="11"/>
      <c r="X128" s="11"/>
      <c r="Y128" s="11"/>
      <c r="Z128" s="11"/>
    </row>
    <row r="129" ht="11.25" customHeight="1">
      <c r="A129" s="92"/>
      <c r="B129" s="11"/>
      <c r="C129" s="92"/>
      <c r="D129" s="11"/>
      <c r="E129" s="11"/>
      <c r="F129" s="11"/>
      <c r="G129" s="11"/>
      <c r="H129" s="11"/>
      <c r="I129" s="11"/>
      <c r="J129" s="36"/>
      <c r="K129" s="11"/>
      <c r="L129" s="11"/>
      <c r="M129" s="11"/>
      <c r="N129" s="11"/>
      <c r="O129" s="11"/>
      <c r="P129" s="11"/>
      <c r="Q129" s="11"/>
      <c r="R129" s="11"/>
      <c r="S129" s="11"/>
      <c r="T129" s="11"/>
      <c r="U129" s="11"/>
      <c r="V129" s="11"/>
      <c r="W129" s="11"/>
      <c r="X129" s="11"/>
      <c r="Y129" s="11"/>
      <c r="Z129" s="11"/>
    </row>
    <row r="130" ht="11.25" customHeight="1">
      <c r="A130" s="92"/>
      <c r="B130" s="11"/>
      <c r="C130" s="92"/>
      <c r="D130" s="11"/>
      <c r="E130" s="11"/>
      <c r="F130" s="11"/>
      <c r="G130" s="11"/>
      <c r="H130" s="11"/>
      <c r="I130" s="11"/>
      <c r="J130" s="36"/>
      <c r="K130" s="11"/>
      <c r="L130" s="11"/>
      <c r="M130" s="11"/>
      <c r="N130" s="11"/>
      <c r="O130" s="11"/>
      <c r="P130" s="11"/>
      <c r="Q130" s="11"/>
      <c r="R130" s="11"/>
      <c r="S130" s="11"/>
      <c r="T130" s="11"/>
      <c r="U130" s="11"/>
      <c r="V130" s="11"/>
      <c r="W130" s="11"/>
      <c r="X130" s="11"/>
      <c r="Y130" s="11"/>
      <c r="Z130" s="11"/>
    </row>
    <row r="131" ht="11.25" customHeight="1">
      <c r="A131" s="92"/>
      <c r="B131" s="11"/>
      <c r="C131" s="92"/>
      <c r="D131" s="11"/>
      <c r="E131" s="11"/>
      <c r="F131" s="11"/>
      <c r="G131" s="11"/>
      <c r="H131" s="11"/>
      <c r="I131" s="11"/>
      <c r="J131" s="36"/>
      <c r="K131" s="11"/>
      <c r="L131" s="11"/>
      <c r="M131" s="11"/>
      <c r="N131" s="11"/>
      <c r="O131" s="11"/>
      <c r="P131" s="11"/>
      <c r="Q131" s="11"/>
      <c r="R131" s="11"/>
      <c r="S131" s="11"/>
      <c r="T131" s="11"/>
      <c r="U131" s="11"/>
      <c r="V131" s="11"/>
      <c r="W131" s="11"/>
      <c r="X131" s="11"/>
      <c r="Y131" s="11"/>
      <c r="Z131" s="11"/>
    </row>
    <row r="132" ht="11.25" customHeight="1">
      <c r="A132" s="92"/>
      <c r="B132" s="11"/>
      <c r="C132" s="92"/>
      <c r="D132" s="11"/>
      <c r="E132" s="11"/>
      <c r="F132" s="11"/>
      <c r="G132" s="11"/>
      <c r="H132" s="11"/>
      <c r="I132" s="11"/>
      <c r="J132" s="36"/>
      <c r="K132" s="11"/>
      <c r="L132" s="11"/>
      <c r="M132" s="11"/>
      <c r="N132" s="11"/>
      <c r="O132" s="11"/>
      <c r="P132" s="11"/>
      <c r="Q132" s="11"/>
      <c r="R132" s="11"/>
      <c r="S132" s="11"/>
      <c r="T132" s="11"/>
      <c r="U132" s="11"/>
      <c r="V132" s="11"/>
      <c r="W132" s="11"/>
      <c r="X132" s="11"/>
      <c r="Y132" s="11"/>
      <c r="Z132" s="11"/>
    </row>
    <row r="133" ht="11.25" customHeight="1">
      <c r="A133" s="92"/>
      <c r="B133" s="11"/>
      <c r="C133" s="92"/>
      <c r="D133" s="11"/>
      <c r="E133" s="11"/>
      <c r="F133" s="11"/>
      <c r="G133" s="11"/>
      <c r="H133" s="11"/>
      <c r="I133" s="11"/>
      <c r="J133" s="36"/>
      <c r="K133" s="11"/>
      <c r="L133" s="11"/>
      <c r="M133" s="11"/>
      <c r="N133" s="11"/>
      <c r="O133" s="11"/>
      <c r="P133" s="11"/>
      <c r="Q133" s="11"/>
      <c r="R133" s="11"/>
      <c r="S133" s="11"/>
      <c r="T133" s="11"/>
      <c r="U133" s="11"/>
      <c r="V133" s="11"/>
      <c r="W133" s="11"/>
      <c r="X133" s="11"/>
      <c r="Y133" s="11"/>
      <c r="Z133" s="11"/>
    </row>
    <row r="134" ht="11.25" customHeight="1">
      <c r="A134" s="92"/>
      <c r="B134" s="11"/>
      <c r="C134" s="92"/>
      <c r="D134" s="11"/>
      <c r="E134" s="11"/>
      <c r="F134" s="11"/>
      <c r="G134" s="11"/>
      <c r="H134" s="11"/>
      <c r="I134" s="11"/>
      <c r="J134" s="36"/>
      <c r="K134" s="11"/>
      <c r="L134" s="11"/>
      <c r="M134" s="11"/>
      <c r="N134" s="11"/>
      <c r="O134" s="11"/>
      <c r="P134" s="11"/>
      <c r="Q134" s="11"/>
      <c r="R134" s="11"/>
      <c r="S134" s="11"/>
      <c r="T134" s="11"/>
      <c r="U134" s="11"/>
      <c r="V134" s="11"/>
      <c r="W134" s="11"/>
      <c r="X134" s="11"/>
      <c r="Y134" s="11"/>
      <c r="Z134" s="11"/>
    </row>
    <row r="135" ht="11.25" customHeight="1">
      <c r="A135" s="92"/>
      <c r="B135" s="11"/>
      <c r="C135" s="92"/>
      <c r="D135" s="11"/>
      <c r="E135" s="11"/>
      <c r="F135" s="11"/>
      <c r="G135" s="11"/>
      <c r="H135" s="11"/>
      <c r="I135" s="11"/>
      <c r="J135" s="36"/>
      <c r="K135" s="11"/>
      <c r="L135" s="11"/>
      <c r="M135" s="11"/>
      <c r="N135" s="11"/>
      <c r="O135" s="11"/>
      <c r="P135" s="11"/>
      <c r="Q135" s="11"/>
      <c r="R135" s="11"/>
      <c r="S135" s="11"/>
      <c r="T135" s="11"/>
      <c r="U135" s="11"/>
      <c r="V135" s="11"/>
      <c r="W135" s="11"/>
      <c r="X135" s="11"/>
      <c r="Y135" s="11"/>
      <c r="Z135" s="11"/>
    </row>
    <row r="136" ht="11.25" customHeight="1">
      <c r="A136" s="92"/>
      <c r="B136" s="11"/>
      <c r="C136" s="92"/>
      <c r="D136" s="11"/>
      <c r="E136" s="11"/>
      <c r="F136" s="11"/>
      <c r="G136" s="11"/>
      <c r="H136" s="11"/>
      <c r="I136" s="11"/>
      <c r="J136" s="36"/>
      <c r="K136" s="11"/>
      <c r="L136" s="11"/>
      <c r="M136" s="11"/>
      <c r="N136" s="11"/>
      <c r="O136" s="11"/>
      <c r="P136" s="11"/>
      <c r="Q136" s="11"/>
      <c r="R136" s="11"/>
      <c r="S136" s="11"/>
      <c r="T136" s="11"/>
      <c r="U136" s="11"/>
      <c r="V136" s="11"/>
      <c r="W136" s="11"/>
      <c r="X136" s="11"/>
      <c r="Y136" s="11"/>
      <c r="Z136" s="11"/>
    </row>
    <row r="137" ht="11.25" customHeight="1">
      <c r="A137" s="92"/>
      <c r="B137" s="11"/>
      <c r="C137" s="92"/>
      <c r="D137" s="11"/>
      <c r="E137" s="11"/>
      <c r="F137" s="11"/>
      <c r="G137" s="11"/>
      <c r="H137" s="11"/>
      <c r="I137" s="11"/>
      <c r="J137" s="36"/>
      <c r="K137" s="11"/>
      <c r="L137" s="11"/>
      <c r="M137" s="11"/>
      <c r="N137" s="11"/>
      <c r="O137" s="11"/>
      <c r="P137" s="11"/>
      <c r="Q137" s="11"/>
      <c r="R137" s="11"/>
      <c r="S137" s="11"/>
      <c r="T137" s="11"/>
      <c r="U137" s="11"/>
      <c r="V137" s="11"/>
      <c r="W137" s="11"/>
      <c r="X137" s="11"/>
      <c r="Y137" s="11"/>
      <c r="Z137" s="11"/>
    </row>
    <row r="138" ht="11.25" customHeight="1">
      <c r="A138" s="92"/>
      <c r="B138" s="11"/>
      <c r="C138" s="92"/>
      <c r="D138" s="11"/>
      <c r="E138" s="11"/>
      <c r="F138" s="11"/>
      <c r="G138" s="11"/>
      <c r="H138" s="11"/>
      <c r="I138" s="11"/>
      <c r="J138" s="36"/>
      <c r="K138" s="11"/>
      <c r="L138" s="11"/>
      <c r="M138" s="11"/>
      <c r="N138" s="11"/>
      <c r="O138" s="11"/>
      <c r="P138" s="11"/>
      <c r="Q138" s="11"/>
      <c r="R138" s="11"/>
      <c r="S138" s="11"/>
      <c r="T138" s="11"/>
      <c r="U138" s="11"/>
      <c r="V138" s="11"/>
      <c r="W138" s="11"/>
      <c r="X138" s="11"/>
      <c r="Y138" s="11"/>
      <c r="Z138" s="11"/>
    </row>
    <row r="139" ht="11.25" customHeight="1">
      <c r="A139" s="92"/>
      <c r="B139" s="11"/>
      <c r="C139" s="92"/>
      <c r="D139" s="11"/>
      <c r="E139" s="11"/>
      <c r="F139" s="11"/>
      <c r="G139" s="11"/>
      <c r="H139" s="11"/>
      <c r="I139" s="11"/>
      <c r="J139" s="36"/>
      <c r="K139" s="11"/>
      <c r="L139" s="11"/>
      <c r="M139" s="11"/>
      <c r="N139" s="11"/>
      <c r="O139" s="11"/>
      <c r="P139" s="11"/>
      <c r="Q139" s="11"/>
      <c r="R139" s="11"/>
      <c r="S139" s="11"/>
      <c r="T139" s="11"/>
      <c r="U139" s="11"/>
      <c r="V139" s="11"/>
      <c r="W139" s="11"/>
      <c r="X139" s="11"/>
      <c r="Y139" s="11"/>
      <c r="Z139" s="11"/>
    </row>
    <row r="140" ht="11.25" customHeight="1">
      <c r="A140" s="92"/>
      <c r="B140" s="11"/>
      <c r="C140" s="92"/>
      <c r="D140" s="11"/>
      <c r="E140" s="11"/>
      <c r="F140" s="11"/>
      <c r="G140" s="11"/>
      <c r="H140" s="11"/>
      <c r="I140" s="11"/>
      <c r="J140" s="36"/>
      <c r="K140" s="11"/>
      <c r="L140" s="11"/>
      <c r="M140" s="11"/>
      <c r="N140" s="11"/>
      <c r="O140" s="11"/>
      <c r="P140" s="11"/>
      <c r="Q140" s="11"/>
      <c r="R140" s="11"/>
      <c r="S140" s="11"/>
      <c r="T140" s="11"/>
      <c r="U140" s="11"/>
      <c r="V140" s="11"/>
      <c r="W140" s="11"/>
      <c r="X140" s="11"/>
      <c r="Y140" s="11"/>
      <c r="Z140" s="11"/>
    </row>
    <row r="141" ht="11.25" customHeight="1">
      <c r="A141" s="92"/>
      <c r="B141" s="11"/>
      <c r="C141" s="92"/>
      <c r="D141" s="11"/>
      <c r="E141" s="11"/>
      <c r="F141" s="11"/>
      <c r="G141" s="11"/>
      <c r="H141" s="11"/>
      <c r="I141" s="11"/>
      <c r="J141" s="36"/>
      <c r="K141" s="11"/>
      <c r="L141" s="11"/>
      <c r="M141" s="11"/>
      <c r="N141" s="11"/>
      <c r="O141" s="11"/>
      <c r="P141" s="11"/>
      <c r="Q141" s="11"/>
      <c r="R141" s="11"/>
      <c r="S141" s="11"/>
      <c r="T141" s="11"/>
      <c r="U141" s="11"/>
      <c r="V141" s="11"/>
      <c r="W141" s="11"/>
      <c r="X141" s="11"/>
      <c r="Y141" s="11"/>
      <c r="Z141" s="11"/>
    </row>
    <row r="142" ht="11.25" customHeight="1">
      <c r="A142" s="92"/>
      <c r="B142" s="11"/>
      <c r="C142" s="92"/>
      <c r="D142" s="11"/>
      <c r="E142" s="11"/>
      <c r="F142" s="11"/>
      <c r="G142" s="11"/>
      <c r="H142" s="11"/>
      <c r="I142" s="11"/>
      <c r="J142" s="36"/>
      <c r="K142" s="11"/>
      <c r="L142" s="11"/>
      <c r="M142" s="11"/>
      <c r="N142" s="11"/>
      <c r="O142" s="11"/>
      <c r="P142" s="11"/>
      <c r="Q142" s="11"/>
      <c r="R142" s="11"/>
      <c r="S142" s="11"/>
      <c r="T142" s="11"/>
      <c r="U142" s="11"/>
      <c r="V142" s="11"/>
      <c r="W142" s="11"/>
      <c r="X142" s="11"/>
      <c r="Y142" s="11"/>
      <c r="Z142" s="11"/>
    </row>
    <row r="143" ht="11.25" customHeight="1">
      <c r="A143" s="92"/>
      <c r="B143" s="11"/>
      <c r="C143" s="92"/>
      <c r="D143" s="11"/>
      <c r="E143" s="11"/>
      <c r="F143" s="11"/>
      <c r="G143" s="11"/>
      <c r="H143" s="11"/>
      <c r="I143" s="11"/>
      <c r="J143" s="36"/>
      <c r="K143" s="11"/>
      <c r="L143" s="11"/>
      <c r="M143" s="11"/>
      <c r="N143" s="11"/>
      <c r="O143" s="11"/>
      <c r="P143" s="11"/>
      <c r="Q143" s="11"/>
      <c r="R143" s="11"/>
      <c r="S143" s="11"/>
      <c r="T143" s="11"/>
      <c r="U143" s="11"/>
      <c r="V143" s="11"/>
      <c r="W143" s="11"/>
      <c r="X143" s="11"/>
      <c r="Y143" s="11"/>
      <c r="Z143" s="11"/>
    </row>
    <row r="144" ht="11.25" customHeight="1">
      <c r="A144" s="92"/>
      <c r="B144" s="11"/>
      <c r="C144" s="92"/>
      <c r="D144" s="11"/>
      <c r="E144" s="11"/>
      <c r="F144" s="11"/>
      <c r="G144" s="11"/>
      <c r="H144" s="11"/>
      <c r="I144" s="11"/>
      <c r="J144" s="36"/>
      <c r="K144" s="11"/>
      <c r="L144" s="11"/>
      <c r="M144" s="11"/>
      <c r="N144" s="11"/>
      <c r="O144" s="11"/>
      <c r="P144" s="11"/>
      <c r="Q144" s="11"/>
      <c r="R144" s="11"/>
      <c r="S144" s="11"/>
      <c r="T144" s="11"/>
      <c r="U144" s="11"/>
      <c r="V144" s="11"/>
      <c r="W144" s="11"/>
      <c r="X144" s="11"/>
      <c r="Y144" s="11"/>
      <c r="Z144" s="11"/>
    </row>
    <row r="145" ht="11.25" customHeight="1">
      <c r="A145" s="92"/>
      <c r="B145" s="11"/>
      <c r="C145" s="92"/>
      <c r="D145" s="11"/>
      <c r="E145" s="11"/>
      <c r="F145" s="11"/>
      <c r="G145" s="11"/>
      <c r="H145" s="11"/>
      <c r="I145" s="11"/>
      <c r="J145" s="36"/>
      <c r="K145" s="11"/>
      <c r="L145" s="11"/>
      <c r="M145" s="11"/>
      <c r="N145" s="11"/>
      <c r="O145" s="11"/>
      <c r="P145" s="11"/>
      <c r="Q145" s="11"/>
      <c r="R145" s="11"/>
      <c r="S145" s="11"/>
      <c r="T145" s="11"/>
      <c r="U145" s="11"/>
      <c r="V145" s="11"/>
      <c r="W145" s="11"/>
      <c r="X145" s="11"/>
      <c r="Y145" s="11"/>
      <c r="Z145" s="11"/>
    </row>
    <row r="146" ht="11.25" customHeight="1">
      <c r="A146" s="92"/>
      <c r="B146" s="11"/>
      <c r="C146" s="92"/>
      <c r="D146" s="11"/>
      <c r="E146" s="11"/>
      <c r="F146" s="11"/>
      <c r="G146" s="11"/>
      <c r="H146" s="11"/>
      <c r="I146" s="11"/>
      <c r="J146" s="36"/>
      <c r="K146" s="11"/>
      <c r="L146" s="11"/>
      <c r="M146" s="11"/>
      <c r="N146" s="11"/>
      <c r="O146" s="11"/>
      <c r="P146" s="11"/>
      <c r="Q146" s="11"/>
      <c r="R146" s="11"/>
      <c r="S146" s="11"/>
      <c r="T146" s="11"/>
      <c r="U146" s="11"/>
      <c r="V146" s="11"/>
      <c r="W146" s="11"/>
      <c r="X146" s="11"/>
      <c r="Y146" s="11"/>
      <c r="Z146" s="11"/>
    </row>
    <row r="147" ht="11.25" customHeight="1">
      <c r="A147" s="92"/>
      <c r="B147" s="11"/>
      <c r="C147" s="92"/>
      <c r="D147" s="11"/>
      <c r="E147" s="11"/>
      <c r="F147" s="11"/>
      <c r="G147" s="11"/>
      <c r="H147" s="11"/>
      <c r="I147" s="11"/>
      <c r="J147" s="36"/>
      <c r="K147" s="11"/>
      <c r="L147" s="11"/>
      <c r="M147" s="11"/>
      <c r="N147" s="11"/>
      <c r="O147" s="11"/>
      <c r="P147" s="11"/>
      <c r="Q147" s="11"/>
      <c r="R147" s="11"/>
      <c r="S147" s="11"/>
      <c r="T147" s="11"/>
      <c r="U147" s="11"/>
      <c r="V147" s="11"/>
      <c r="W147" s="11"/>
      <c r="X147" s="11"/>
      <c r="Y147" s="11"/>
      <c r="Z147" s="11"/>
    </row>
    <row r="148" ht="11.25" customHeight="1">
      <c r="A148" s="92"/>
      <c r="B148" s="11"/>
      <c r="C148" s="92"/>
      <c r="D148" s="11"/>
      <c r="E148" s="11"/>
      <c r="F148" s="11"/>
      <c r="G148" s="11"/>
      <c r="H148" s="11"/>
      <c r="I148" s="11"/>
      <c r="J148" s="36"/>
      <c r="K148" s="11"/>
      <c r="L148" s="11"/>
      <c r="M148" s="11"/>
      <c r="N148" s="11"/>
      <c r="O148" s="11"/>
      <c r="P148" s="11"/>
      <c r="Q148" s="11"/>
      <c r="R148" s="11"/>
      <c r="S148" s="11"/>
      <c r="T148" s="11"/>
      <c r="U148" s="11"/>
      <c r="V148" s="11"/>
      <c r="W148" s="11"/>
      <c r="X148" s="11"/>
      <c r="Y148" s="11"/>
      <c r="Z148" s="11"/>
    </row>
    <row r="149" ht="11.25" customHeight="1">
      <c r="A149" s="92"/>
      <c r="B149" s="11"/>
      <c r="C149" s="92"/>
      <c r="D149" s="11"/>
      <c r="E149" s="11"/>
      <c r="F149" s="11"/>
      <c r="G149" s="11"/>
      <c r="H149" s="11"/>
      <c r="I149" s="11"/>
      <c r="J149" s="36"/>
      <c r="K149" s="11"/>
      <c r="L149" s="11"/>
      <c r="M149" s="11"/>
      <c r="N149" s="11"/>
      <c r="O149" s="11"/>
      <c r="P149" s="11"/>
      <c r="Q149" s="11"/>
      <c r="R149" s="11"/>
      <c r="S149" s="11"/>
      <c r="T149" s="11"/>
      <c r="U149" s="11"/>
      <c r="V149" s="11"/>
      <c r="W149" s="11"/>
      <c r="X149" s="11"/>
      <c r="Y149" s="11"/>
      <c r="Z149" s="11"/>
    </row>
    <row r="150" ht="11.25" customHeight="1">
      <c r="A150" s="92"/>
      <c r="B150" s="11"/>
      <c r="C150" s="92"/>
      <c r="D150" s="11"/>
      <c r="E150" s="11"/>
      <c r="F150" s="11"/>
      <c r="G150" s="11"/>
      <c r="H150" s="11"/>
      <c r="I150" s="11"/>
      <c r="J150" s="36"/>
      <c r="K150" s="11"/>
      <c r="L150" s="11"/>
      <c r="M150" s="11"/>
      <c r="N150" s="11"/>
      <c r="O150" s="11"/>
      <c r="P150" s="11"/>
      <c r="Q150" s="11"/>
      <c r="R150" s="11"/>
      <c r="S150" s="11"/>
      <c r="T150" s="11"/>
      <c r="U150" s="11"/>
      <c r="V150" s="11"/>
      <c r="W150" s="11"/>
      <c r="X150" s="11"/>
      <c r="Y150" s="11"/>
      <c r="Z150" s="11"/>
    </row>
    <row r="151" ht="11.25" customHeight="1">
      <c r="A151" s="92"/>
      <c r="B151" s="11"/>
      <c r="C151" s="92"/>
      <c r="D151" s="11"/>
      <c r="E151" s="11"/>
      <c r="F151" s="11"/>
      <c r="G151" s="11"/>
      <c r="H151" s="11"/>
      <c r="I151" s="11"/>
      <c r="J151" s="36"/>
      <c r="K151" s="11"/>
      <c r="L151" s="11"/>
      <c r="M151" s="11"/>
      <c r="N151" s="11"/>
      <c r="O151" s="11"/>
      <c r="P151" s="11"/>
      <c r="Q151" s="11"/>
      <c r="R151" s="11"/>
      <c r="S151" s="11"/>
      <c r="T151" s="11"/>
      <c r="U151" s="11"/>
      <c r="V151" s="11"/>
      <c r="W151" s="11"/>
      <c r="X151" s="11"/>
      <c r="Y151" s="11"/>
      <c r="Z151" s="11"/>
    </row>
    <row r="152" ht="11.25" customHeight="1">
      <c r="A152" s="92"/>
      <c r="B152" s="11"/>
      <c r="C152" s="92"/>
      <c r="D152" s="11"/>
      <c r="E152" s="11"/>
      <c r="F152" s="11"/>
      <c r="G152" s="11"/>
      <c r="H152" s="11"/>
      <c r="I152" s="11"/>
      <c r="J152" s="36"/>
      <c r="K152" s="11"/>
      <c r="L152" s="11"/>
      <c r="M152" s="11"/>
      <c r="N152" s="11"/>
      <c r="O152" s="11"/>
      <c r="P152" s="11"/>
      <c r="Q152" s="11"/>
      <c r="R152" s="11"/>
      <c r="S152" s="11"/>
      <c r="T152" s="11"/>
      <c r="U152" s="11"/>
      <c r="V152" s="11"/>
      <c r="W152" s="11"/>
      <c r="X152" s="11"/>
      <c r="Y152" s="11"/>
      <c r="Z152" s="11"/>
    </row>
    <row r="153" ht="11.25" customHeight="1">
      <c r="A153" s="92"/>
      <c r="B153" s="11"/>
      <c r="C153" s="92"/>
      <c r="D153" s="11"/>
      <c r="E153" s="11"/>
      <c r="F153" s="11"/>
      <c r="G153" s="11"/>
      <c r="H153" s="11"/>
      <c r="I153" s="11"/>
      <c r="J153" s="36"/>
      <c r="K153" s="11"/>
      <c r="L153" s="11"/>
      <c r="M153" s="11"/>
      <c r="N153" s="11"/>
      <c r="O153" s="11"/>
      <c r="P153" s="11"/>
      <c r="Q153" s="11"/>
      <c r="R153" s="11"/>
      <c r="S153" s="11"/>
      <c r="T153" s="11"/>
      <c r="U153" s="11"/>
      <c r="V153" s="11"/>
      <c r="W153" s="11"/>
      <c r="X153" s="11"/>
      <c r="Y153" s="11"/>
      <c r="Z153" s="11"/>
    </row>
    <row r="154" ht="11.25" customHeight="1">
      <c r="A154" s="92"/>
      <c r="B154" s="11"/>
      <c r="C154" s="92"/>
      <c r="D154" s="11"/>
      <c r="E154" s="11"/>
      <c r="F154" s="11"/>
      <c r="G154" s="11"/>
      <c r="H154" s="11"/>
      <c r="I154" s="11"/>
      <c r="J154" s="36"/>
      <c r="K154" s="11"/>
      <c r="L154" s="11"/>
      <c r="M154" s="11"/>
      <c r="N154" s="11"/>
      <c r="O154" s="11"/>
      <c r="P154" s="11"/>
      <c r="Q154" s="11"/>
      <c r="R154" s="11"/>
      <c r="S154" s="11"/>
      <c r="T154" s="11"/>
      <c r="U154" s="11"/>
      <c r="V154" s="11"/>
      <c r="W154" s="11"/>
      <c r="X154" s="11"/>
      <c r="Y154" s="11"/>
      <c r="Z154" s="11"/>
    </row>
    <row r="155" ht="11.25" customHeight="1">
      <c r="A155" s="92"/>
      <c r="B155" s="11"/>
      <c r="C155" s="92"/>
      <c r="D155" s="11"/>
      <c r="E155" s="11"/>
      <c r="F155" s="11"/>
      <c r="G155" s="11"/>
      <c r="H155" s="11"/>
      <c r="I155" s="11"/>
      <c r="J155" s="36"/>
      <c r="K155" s="11"/>
      <c r="L155" s="11"/>
      <c r="M155" s="11"/>
      <c r="N155" s="11"/>
      <c r="O155" s="11"/>
      <c r="P155" s="11"/>
      <c r="Q155" s="11"/>
      <c r="R155" s="11"/>
      <c r="S155" s="11"/>
      <c r="T155" s="11"/>
      <c r="U155" s="11"/>
      <c r="V155" s="11"/>
      <c r="W155" s="11"/>
      <c r="X155" s="11"/>
      <c r="Y155" s="11"/>
      <c r="Z155" s="11"/>
    </row>
    <row r="156" ht="11.25" customHeight="1">
      <c r="A156" s="92"/>
      <c r="B156" s="11"/>
      <c r="C156" s="92"/>
      <c r="D156" s="11"/>
      <c r="E156" s="11"/>
      <c r="F156" s="11"/>
      <c r="G156" s="11"/>
      <c r="H156" s="11"/>
      <c r="I156" s="11"/>
      <c r="J156" s="36"/>
      <c r="K156" s="11"/>
      <c r="L156" s="11"/>
      <c r="M156" s="11"/>
      <c r="N156" s="11"/>
      <c r="O156" s="11"/>
      <c r="P156" s="11"/>
      <c r="Q156" s="11"/>
      <c r="R156" s="11"/>
      <c r="S156" s="11"/>
      <c r="T156" s="11"/>
      <c r="U156" s="11"/>
      <c r="V156" s="11"/>
      <c r="W156" s="11"/>
      <c r="X156" s="11"/>
      <c r="Y156" s="11"/>
      <c r="Z156" s="11"/>
    </row>
    <row r="157" ht="11.25" customHeight="1">
      <c r="A157" s="92"/>
      <c r="B157" s="11"/>
      <c r="C157" s="92"/>
      <c r="D157" s="11"/>
      <c r="E157" s="11"/>
      <c r="F157" s="11"/>
      <c r="G157" s="11"/>
      <c r="H157" s="11"/>
      <c r="I157" s="11"/>
      <c r="J157" s="36"/>
      <c r="K157" s="11"/>
      <c r="L157" s="11"/>
      <c r="M157" s="11"/>
      <c r="N157" s="11"/>
      <c r="O157" s="11"/>
      <c r="P157" s="11"/>
      <c r="Q157" s="11"/>
      <c r="R157" s="11"/>
      <c r="S157" s="11"/>
      <c r="T157" s="11"/>
      <c r="U157" s="11"/>
      <c r="V157" s="11"/>
      <c r="W157" s="11"/>
      <c r="X157" s="11"/>
      <c r="Y157" s="11"/>
      <c r="Z157" s="11"/>
    </row>
    <row r="158" ht="11.25" customHeight="1">
      <c r="A158" s="92"/>
      <c r="B158" s="11"/>
      <c r="C158" s="92"/>
      <c r="D158" s="11"/>
      <c r="E158" s="11"/>
      <c r="F158" s="11"/>
      <c r="G158" s="11"/>
      <c r="H158" s="11"/>
      <c r="I158" s="11"/>
      <c r="J158" s="36"/>
      <c r="K158" s="11"/>
      <c r="L158" s="11"/>
      <c r="M158" s="11"/>
      <c r="N158" s="11"/>
      <c r="O158" s="11"/>
      <c r="P158" s="11"/>
      <c r="Q158" s="11"/>
      <c r="R158" s="11"/>
      <c r="S158" s="11"/>
      <c r="T158" s="11"/>
      <c r="U158" s="11"/>
      <c r="V158" s="11"/>
      <c r="W158" s="11"/>
      <c r="X158" s="11"/>
      <c r="Y158" s="11"/>
      <c r="Z158" s="11"/>
    </row>
    <row r="159" ht="11.25" customHeight="1">
      <c r="A159" s="92"/>
      <c r="B159" s="11"/>
      <c r="C159" s="92"/>
      <c r="D159" s="11"/>
      <c r="E159" s="11"/>
      <c r="F159" s="11"/>
      <c r="G159" s="11"/>
      <c r="H159" s="11"/>
      <c r="I159" s="11"/>
      <c r="J159" s="36"/>
      <c r="K159" s="11"/>
      <c r="L159" s="11"/>
      <c r="M159" s="11"/>
      <c r="N159" s="11"/>
      <c r="O159" s="11"/>
      <c r="P159" s="11"/>
      <c r="Q159" s="11"/>
      <c r="R159" s="11"/>
      <c r="S159" s="11"/>
      <c r="T159" s="11"/>
      <c r="U159" s="11"/>
      <c r="V159" s="11"/>
      <c r="W159" s="11"/>
      <c r="X159" s="11"/>
      <c r="Y159" s="11"/>
      <c r="Z159" s="11"/>
    </row>
    <row r="160" ht="11.25" customHeight="1">
      <c r="A160" s="92"/>
      <c r="B160" s="11"/>
      <c r="C160" s="92"/>
      <c r="D160" s="11"/>
      <c r="E160" s="11"/>
      <c r="F160" s="11"/>
      <c r="G160" s="11"/>
      <c r="H160" s="11"/>
      <c r="I160" s="11"/>
      <c r="J160" s="36"/>
      <c r="K160" s="11"/>
      <c r="L160" s="11"/>
      <c r="M160" s="11"/>
      <c r="N160" s="11"/>
      <c r="O160" s="11"/>
      <c r="P160" s="11"/>
      <c r="Q160" s="11"/>
      <c r="R160" s="11"/>
      <c r="S160" s="11"/>
      <c r="T160" s="11"/>
      <c r="U160" s="11"/>
      <c r="V160" s="11"/>
      <c r="W160" s="11"/>
      <c r="X160" s="11"/>
      <c r="Y160" s="11"/>
      <c r="Z160" s="11"/>
    </row>
    <row r="161" ht="11.25" customHeight="1">
      <c r="A161" s="92"/>
      <c r="B161" s="11"/>
      <c r="C161" s="92"/>
      <c r="D161" s="11"/>
      <c r="E161" s="11"/>
      <c r="F161" s="11"/>
      <c r="G161" s="11"/>
      <c r="H161" s="11"/>
      <c r="I161" s="11"/>
      <c r="J161" s="36"/>
      <c r="K161" s="11"/>
      <c r="L161" s="11"/>
      <c r="M161" s="11"/>
      <c r="N161" s="11"/>
      <c r="O161" s="11"/>
      <c r="P161" s="11"/>
      <c r="Q161" s="11"/>
      <c r="R161" s="11"/>
      <c r="S161" s="11"/>
      <c r="T161" s="11"/>
      <c r="U161" s="11"/>
      <c r="V161" s="11"/>
      <c r="W161" s="11"/>
      <c r="X161" s="11"/>
      <c r="Y161" s="11"/>
      <c r="Z161" s="11"/>
    </row>
    <row r="162" ht="11.25" customHeight="1">
      <c r="A162" s="92"/>
      <c r="B162" s="11"/>
      <c r="C162" s="92"/>
      <c r="D162" s="11"/>
      <c r="E162" s="11"/>
      <c r="F162" s="11"/>
      <c r="G162" s="11"/>
      <c r="H162" s="11"/>
      <c r="I162" s="11"/>
      <c r="J162" s="36"/>
      <c r="K162" s="11"/>
      <c r="L162" s="11"/>
      <c r="M162" s="11"/>
      <c r="N162" s="11"/>
      <c r="O162" s="11"/>
      <c r="P162" s="11"/>
      <c r="Q162" s="11"/>
      <c r="R162" s="11"/>
      <c r="S162" s="11"/>
      <c r="T162" s="11"/>
      <c r="U162" s="11"/>
      <c r="V162" s="11"/>
      <c r="W162" s="11"/>
      <c r="X162" s="11"/>
      <c r="Y162" s="11"/>
      <c r="Z162" s="11"/>
    </row>
    <row r="163" ht="11.25" customHeight="1">
      <c r="A163" s="92"/>
      <c r="B163" s="11"/>
      <c r="C163" s="92"/>
      <c r="D163" s="11"/>
      <c r="E163" s="11"/>
      <c r="F163" s="11"/>
      <c r="G163" s="11"/>
      <c r="H163" s="11"/>
      <c r="I163" s="11"/>
      <c r="J163" s="36"/>
      <c r="K163" s="11"/>
      <c r="L163" s="11"/>
      <c r="M163" s="11"/>
      <c r="N163" s="11"/>
      <c r="O163" s="11"/>
      <c r="P163" s="11"/>
      <c r="Q163" s="11"/>
      <c r="R163" s="11"/>
      <c r="S163" s="11"/>
      <c r="T163" s="11"/>
      <c r="U163" s="11"/>
      <c r="V163" s="11"/>
      <c r="W163" s="11"/>
      <c r="X163" s="11"/>
      <c r="Y163" s="11"/>
      <c r="Z163" s="11"/>
    </row>
    <row r="164" ht="11.25" customHeight="1">
      <c r="A164" s="92"/>
      <c r="B164" s="11"/>
      <c r="C164" s="92"/>
      <c r="D164" s="11"/>
      <c r="E164" s="11"/>
      <c r="F164" s="11"/>
      <c r="G164" s="11"/>
      <c r="H164" s="11"/>
      <c r="I164" s="11"/>
      <c r="J164" s="36"/>
      <c r="K164" s="11"/>
      <c r="L164" s="11"/>
      <c r="M164" s="11"/>
      <c r="N164" s="11"/>
      <c r="O164" s="11"/>
      <c r="P164" s="11"/>
      <c r="Q164" s="11"/>
      <c r="R164" s="11"/>
      <c r="S164" s="11"/>
      <c r="T164" s="11"/>
      <c r="U164" s="11"/>
      <c r="V164" s="11"/>
      <c r="W164" s="11"/>
      <c r="X164" s="11"/>
      <c r="Y164" s="11"/>
      <c r="Z164" s="11"/>
    </row>
    <row r="165" ht="11.25" customHeight="1">
      <c r="A165" s="92"/>
      <c r="B165" s="11"/>
      <c r="C165" s="92"/>
      <c r="D165" s="11"/>
      <c r="E165" s="11"/>
      <c r="F165" s="11"/>
      <c r="G165" s="11"/>
      <c r="H165" s="11"/>
      <c r="I165" s="11"/>
      <c r="J165" s="36"/>
      <c r="K165" s="11"/>
      <c r="L165" s="11"/>
      <c r="M165" s="11"/>
      <c r="N165" s="11"/>
      <c r="O165" s="11"/>
      <c r="P165" s="11"/>
      <c r="Q165" s="11"/>
      <c r="R165" s="11"/>
      <c r="S165" s="11"/>
      <c r="T165" s="11"/>
      <c r="U165" s="11"/>
      <c r="V165" s="11"/>
      <c r="W165" s="11"/>
      <c r="X165" s="11"/>
      <c r="Y165" s="11"/>
      <c r="Z165" s="11"/>
    </row>
    <row r="166" ht="11.25" customHeight="1">
      <c r="A166" s="92"/>
      <c r="B166" s="11"/>
      <c r="C166" s="92"/>
      <c r="D166" s="11"/>
      <c r="E166" s="11"/>
      <c r="F166" s="11"/>
      <c r="G166" s="11"/>
      <c r="H166" s="11"/>
      <c r="I166" s="11"/>
      <c r="J166" s="36"/>
      <c r="K166" s="11"/>
      <c r="L166" s="11"/>
      <c r="M166" s="11"/>
      <c r="N166" s="11"/>
      <c r="O166" s="11"/>
      <c r="P166" s="11"/>
      <c r="Q166" s="11"/>
      <c r="R166" s="11"/>
      <c r="S166" s="11"/>
      <c r="T166" s="11"/>
      <c r="U166" s="11"/>
      <c r="V166" s="11"/>
      <c r="W166" s="11"/>
      <c r="X166" s="11"/>
      <c r="Y166" s="11"/>
      <c r="Z166" s="11"/>
    </row>
    <row r="167" ht="11.25" customHeight="1">
      <c r="A167" s="92"/>
      <c r="B167" s="11"/>
      <c r="C167" s="92"/>
      <c r="D167" s="11"/>
      <c r="E167" s="11"/>
      <c r="F167" s="11"/>
      <c r="G167" s="11"/>
      <c r="H167" s="11"/>
      <c r="I167" s="11"/>
      <c r="J167" s="36"/>
      <c r="K167" s="11"/>
      <c r="L167" s="11"/>
      <c r="M167" s="11"/>
      <c r="N167" s="11"/>
      <c r="O167" s="11"/>
      <c r="P167" s="11"/>
      <c r="Q167" s="11"/>
      <c r="R167" s="11"/>
      <c r="S167" s="11"/>
      <c r="T167" s="11"/>
      <c r="U167" s="11"/>
      <c r="V167" s="11"/>
      <c r="W167" s="11"/>
      <c r="X167" s="11"/>
      <c r="Y167" s="11"/>
      <c r="Z167" s="11"/>
    </row>
    <row r="168" ht="11.25" customHeight="1">
      <c r="A168" s="92"/>
      <c r="B168" s="11"/>
      <c r="C168" s="92"/>
      <c r="D168" s="11"/>
      <c r="E168" s="11"/>
      <c r="F168" s="11"/>
      <c r="G168" s="11"/>
      <c r="H168" s="11"/>
      <c r="I168" s="11"/>
      <c r="J168" s="36"/>
      <c r="K168" s="11"/>
      <c r="L168" s="11"/>
      <c r="M168" s="11"/>
      <c r="N168" s="11"/>
      <c r="O168" s="11"/>
      <c r="P168" s="11"/>
      <c r="Q168" s="11"/>
      <c r="R168" s="11"/>
      <c r="S168" s="11"/>
      <c r="T168" s="11"/>
      <c r="U168" s="11"/>
      <c r="V168" s="11"/>
      <c r="W168" s="11"/>
      <c r="X168" s="11"/>
      <c r="Y168" s="11"/>
      <c r="Z168" s="11"/>
    </row>
    <row r="169" ht="11.25" customHeight="1">
      <c r="A169" s="92"/>
      <c r="B169" s="11"/>
      <c r="C169" s="92"/>
      <c r="D169" s="11"/>
      <c r="E169" s="11"/>
      <c r="F169" s="11"/>
      <c r="G169" s="11"/>
      <c r="H169" s="11"/>
      <c r="I169" s="11"/>
      <c r="J169" s="36"/>
      <c r="K169" s="11"/>
      <c r="L169" s="11"/>
      <c r="M169" s="11"/>
      <c r="N169" s="11"/>
      <c r="O169" s="11"/>
      <c r="P169" s="11"/>
      <c r="Q169" s="11"/>
      <c r="R169" s="11"/>
      <c r="S169" s="11"/>
      <c r="T169" s="11"/>
      <c r="U169" s="11"/>
      <c r="V169" s="11"/>
      <c r="W169" s="11"/>
      <c r="X169" s="11"/>
      <c r="Y169" s="11"/>
      <c r="Z169" s="11"/>
    </row>
    <row r="170" ht="11.25" customHeight="1">
      <c r="A170" s="92"/>
      <c r="B170" s="11"/>
      <c r="C170" s="92"/>
      <c r="D170" s="11"/>
      <c r="E170" s="11"/>
      <c r="F170" s="11"/>
      <c r="G170" s="11"/>
      <c r="H170" s="11"/>
      <c r="I170" s="11"/>
      <c r="J170" s="36"/>
      <c r="K170" s="11"/>
      <c r="L170" s="11"/>
      <c r="M170" s="11"/>
      <c r="N170" s="11"/>
      <c r="O170" s="11"/>
      <c r="P170" s="11"/>
      <c r="Q170" s="11"/>
      <c r="R170" s="11"/>
      <c r="S170" s="11"/>
      <c r="T170" s="11"/>
      <c r="U170" s="11"/>
      <c r="V170" s="11"/>
      <c r="W170" s="11"/>
      <c r="X170" s="11"/>
      <c r="Y170" s="11"/>
      <c r="Z170" s="11"/>
    </row>
    <row r="171" ht="11.25" customHeight="1">
      <c r="A171" s="92"/>
      <c r="B171" s="11"/>
      <c r="C171" s="92"/>
      <c r="D171" s="11"/>
      <c r="E171" s="11"/>
      <c r="F171" s="11"/>
      <c r="G171" s="11"/>
      <c r="H171" s="11"/>
      <c r="I171" s="11"/>
      <c r="J171" s="36"/>
      <c r="K171" s="11"/>
      <c r="L171" s="11"/>
      <c r="M171" s="11"/>
      <c r="N171" s="11"/>
      <c r="O171" s="11"/>
      <c r="P171" s="11"/>
      <c r="Q171" s="11"/>
      <c r="R171" s="11"/>
      <c r="S171" s="11"/>
      <c r="T171" s="11"/>
      <c r="U171" s="11"/>
      <c r="V171" s="11"/>
      <c r="W171" s="11"/>
      <c r="X171" s="11"/>
      <c r="Y171" s="11"/>
      <c r="Z171" s="11"/>
    </row>
    <row r="172" ht="11.25" customHeight="1">
      <c r="A172" s="92"/>
      <c r="B172" s="11"/>
      <c r="C172" s="92"/>
      <c r="D172" s="11"/>
      <c r="E172" s="11"/>
      <c r="F172" s="11"/>
      <c r="G172" s="11"/>
      <c r="H172" s="11"/>
      <c r="I172" s="11"/>
      <c r="J172" s="36"/>
      <c r="K172" s="11"/>
      <c r="L172" s="11"/>
      <c r="M172" s="11"/>
      <c r="N172" s="11"/>
      <c r="O172" s="11"/>
      <c r="P172" s="11"/>
      <c r="Q172" s="11"/>
      <c r="R172" s="11"/>
      <c r="S172" s="11"/>
      <c r="T172" s="11"/>
      <c r="U172" s="11"/>
      <c r="V172" s="11"/>
      <c r="W172" s="11"/>
      <c r="X172" s="11"/>
      <c r="Y172" s="11"/>
      <c r="Z172" s="11"/>
    </row>
    <row r="173" ht="11.25" customHeight="1">
      <c r="A173" s="92"/>
      <c r="B173" s="11"/>
      <c r="C173" s="92"/>
      <c r="D173" s="11"/>
      <c r="E173" s="11"/>
      <c r="F173" s="11"/>
      <c r="G173" s="11"/>
      <c r="H173" s="11"/>
      <c r="I173" s="11"/>
      <c r="J173" s="36"/>
      <c r="K173" s="11"/>
      <c r="L173" s="11"/>
      <c r="M173" s="11"/>
      <c r="N173" s="11"/>
      <c r="O173" s="11"/>
      <c r="P173" s="11"/>
      <c r="Q173" s="11"/>
      <c r="R173" s="11"/>
      <c r="S173" s="11"/>
      <c r="T173" s="11"/>
      <c r="U173" s="11"/>
      <c r="V173" s="11"/>
      <c r="W173" s="11"/>
      <c r="X173" s="11"/>
      <c r="Y173" s="11"/>
      <c r="Z173" s="11"/>
    </row>
    <row r="174" ht="11.25" customHeight="1">
      <c r="A174" s="92"/>
      <c r="B174" s="11"/>
      <c r="C174" s="92"/>
      <c r="D174" s="11"/>
      <c r="E174" s="11"/>
      <c r="F174" s="11"/>
      <c r="G174" s="11"/>
      <c r="H174" s="11"/>
      <c r="I174" s="11"/>
      <c r="J174" s="36"/>
      <c r="K174" s="11"/>
      <c r="L174" s="11"/>
      <c r="M174" s="11"/>
      <c r="N174" s="11"/>
      <c r="O174" s="11"/>
      <c r="P174" s="11"/>
      <c r="Q174" s="11"/>
      <c r="R174" s="11"/>
      <c r="S174" s="11"/>
      <c r="T174" s="11"/>
      <c r="U174" s="11"/>
      <c r="V174" s="11"/>
      <c r="W174" s="11"/>
      <c r="X174" s="11"/>
      <c r="Y174" s="11"/>
      <c r="Z174" s="11"/>
    </row>
    <row r="175" ht="11.25" customHeight="1">
      <c r="A175" s="92"/>
      <c r="B175" s="11"/>
      <c r="C175" s="92"/>
      <c r="D175" s="11"/>
      <c r="E175" s="11"/>
      <c r="F175" s="11"/>
      <c r="G175" s="11"/>
      <c r="H175" s="11"/>
      <c r="I175" s="11"/>
      <c r="J175" s="36"/>
      <c r="K175" s="11"/>
      <c r="L175" s="11"/>
      <c r="M175" s="11"/>
      <c r="N175" s="11"/>
      <c r="O175" s="11"/>
      <c r="P175" s="11"/>
      <c r="Q175" s="11"/>
      <c r="R175" s="11"/>
      <c r="S175" s="11"/>
      <c r="T175" s="11"/>
      <c r="U175" s="11"/>
      <c r="V175" s="11"/>
      <c r="W175" s="11"/>
      <c r="X175" s="11"/>
      <c r="Y175" s="11"/>
      <c r="Z175" s="11"/>
    </row>
    <row r="176" ht="11.25" customHeight="1">
      <c r="A176" s="92"/>
      <c r="B176" s="11"/>
      <c r="C176" s="92"/>
      <c r="D176" s="11"/>
      <c r="E176" s="11"/>
      <c r="F176" s="11"/>
      <c r="G176" s="11"/>
      <c r="H176" s="11"/>
      <c r="I176" s="11"/>
      <c r="J176" s="36"/>
      <c r="K176" s="11"/>
      <c r="L176" s="11"/>
      <c r="M176" s="11"/>
      <c r="N176" s="11"/>
      <c r="O176" s="11"/>
      <c r="P176" s="11"/>
      <c r="Q176" s="11"/>
      <c r="R176" s="11"/>
      <c r="S176" s="11"/>
      <c r="T176" s="11"/>
      <c r="U176" s="11"/>
      <c r="V176" s="11"/>
      <c r="W176" s="11"/>
      <c r="X176" s="11"/>
      <c r="Y176" s="11"/>
      <c r="Z176" s="11"/>
    </row>
    <row r="177" ht="11.25" customHeight="1">
      <c r="A177" s="92"/>
      <c r="B177" s="11"/>
      <c r="C177" s="92"/>
      <c r="D177" s="11"/>
      <c r="E177" s="11"/>
      <c r="F177" s="11"/>
      <c r="G177" s="11"/>
      <c r="H177" s="11"/>
      <c r="I177" s="11"/>
      <c r="J177" s="36"/>
      <c r="K177" s="11"/>
      <c r="L177" s="11"/>
      <c r="M177" s="11"/>
      <c r="N177" s="11"/>
      <c r="O177" s="11"/>
      <c r="P177" s="11"/>
      <c r="Q177" s="11"/>
      <c r="R177" s="11"/>
      <c r="S177" s="11"/>
      <c r="T177" s="11"/>
      <c r="U177" s="11"/>
      <c r="V177" s="11"/>
      <c r="W177" s="11"/>
      <c r="X177" s="11"/>
      <c r="Y177" s="11"/>
      <c r="Z177" s="11"/>
    </row>
    <row r="178" ht="11.25" customHeight="1">
      <c r="A178" s="92"/>
      <c r="B178" s="11"/>
      <c r="C178" s="92"/>
      <c r="D178" s="11"/>
      <c r="E178" s="11"/>
      <c r="F178" s="11"/>
      <c r="G178" s="11"/>
      <c r="H178" s="11"/>
      <c r="I178" s="11"/>
      <c r="J178" s="36"/>
      <c r="K178" s="11"/>
      <c r="L178" s="11"/>
      <c r="M178" s="11"/>
      <c r="N178" s="11"/>
      <c r="O178" s="11"/>
      <c r="P178" s="11"/>
      <c r="Q178" s="11"/>
      <c r="R178" s="11"/>
      <c r="S178" s="11"/>
      <c r="T178" s="11"/>
      <c r="U178" s="11"/>
      <c r="V178" s="11"/>
      <c r="W178" s="11"/>
      <c r="X178" s="11"/>
      <c r="Y178" s="11"/>
      <c r="Z178" s="11"/>
    </row>
    <row r="179" ht="11.25" customHeight="1">
      <c r="A179" s="92"/>
      <c r="B179" s="11"/>
      <c r="C179" s="92"/>
      <c r="D179" s="11"/>
      <c r="E179" s="11"/>
      <c r="F179" s="11"/>
      <c r="G179" s="11"/>
      <c r="H179" s="11"/>
      <c r="I179" s="11"/>
      <c r="J179" s="36"/>
      <c r="K179" s="11"/>
      <c r="L179" s="11"/>
      <c r="M179" s="11"/>
      <c r="N179" s="11"/>
      <c r="O179" s="11"/>
      <c r="P179" s="11"/>
      <c r="Q179" s="11"/>
      <c r="R179" s="11"/>
      <c r="S179" s="11"/>
      <c r="T179" s="11"/>
      <c r="U179" s="11"/>
      <c r="V179" s="11"/>
      <c r="W179" s="11"/>
      <c r="X179" s="11"/>
      <c r="Y179" s="11"/>
      <c r="Z179" s="11"/>
    </row>
    <row r="180" ht="11.25" customHeight="1">
      <c r="A180" s="92"/>
      <c r="B180" s="11"/>
      <c r="C180" s="92"/>
      <c r="D180" s="11"/>
      <c r="E180" s="11"/>
      <c r="F180" s="11"/>
      <c r="G180" s="11"/>
      <c r="H180" s="11"/>
      <c r="I180" s="11"/>
      <c r="J180" s="36"/>
      <c r="K180" s="11"/>
      <c r="L180" s="11"/>
      <c r="M180" s="11"/>
      <c r="N180" s="11"/>
      <c r="O180" s="11"/>
      <c r="P180" s="11"/>
      <c r="Q180" s="11"/>
      <c r="R180" s="11"/>
      <c r="S180" s="11"/>
      <c r="T180" s="11"/>
      <c r="U180" s="11"/>
      <c r="V180" s="11"/>
      <c r="W180" s="11"/>
      <c r="X180" s="11"/>
      <c r="Y180" s="11"/>
      <c r="Z180" s="11"/>
    </row>
    <row r="181" ht="11.25" customHeight="1">
      <c r="A181" s="92"/>
      <c r="B181" s="11"/>
      <c r="C181" s="92"/>
      <c r="D181" s="11"/>
      <c r="E181" s="11"/>
      <c r="F181" s="11"/>
      <c r="G181" s="11"/>
      <c r="H181" s="11"/>
      <c r="I181" s="11"/>
      <c r="J181" s="36"/>
      <c r="K181" s="11"/>
      <c r="L181" s="11"/>
      <c r="M181" s="11"/>
      <c r="N181" s="11"/>
      <c r="O181" s="11"/>
      <c r="P181" s="11"/>
      <c r="Q181" s="11"/>
      <c r="R181" s="11"/>
      <c r="S181" s="11"/>
      <c r="T181" s="11"/>
      <c r="U181" s="11"/>
      <c r="V181" s="11"/>
      <c r="W181" s="11"/>
      <c r="X181" s="11"/>
      <c r="Y181" s="11"/>
      <c r="Z181" s="11"/>
    </row>
    <row r="182" ht="11.25" customHeight="1">
      <c r="A182" s="92"/>
      <c r="B182" s="11"/>
      <c r="C182" s="92"/>
      <c r="D182" s="11"/>
      <c r="E182" s="11"/>
      <c r="F182" s="11"/>
      <c r="G182" s="11"/>
      <c r="H182" s="11"/>
      <c r="I182" s="11"/>
      <c r="J182" s="36"/>
      <c r="K182" s="11"/>
      <c r="L182" s="11"/>
      <c r="M182" s="11"/>
      <c r="N182" s="11"/>
      <c r="O182" s="11"/>
      <c r="P182" s="11"/>
      <c r="Q182" s="11"/>
      <c r="R182" s="11"/>
      <c r="S182" s="11"/>
      <c r="T182" s="11"/>
      <c r="U182" s="11"/>
      <c r="V182" s="11"/>
      <c r="W182" s="11"/>
      <c r="X182" s="11"/>
      <c r="Y182" s="11"/>
      <c r="Z182" s="11"/>
    </row>
    <row r="183" ht="11.25" customHeight="1">
      <c r="A183" s="92"/>
      <c r="B183" s="11"/>
      <c r="C183" s="92"/>
      <c r="D183" s="11"/>
      <c r="E183" s="11"/>
      <c r="F183" s="11"/>
      <c r="G183" s="11"/>
      <c r="H183" s="11"/>
      <c r="I183" s="11"/>
      <c r="J183" s="36"/>
      <c r="K183" s="11"/>
      <c r="L183" s="11"/>
      <c r="M183" s="11"/>
      <c r="N183" s="11"/>
      <c r="O183" s="11"/>
      <c r="P183" s="11"/>
      <c r="Q183" s="11"/>
      <c r="R183" s="11"/>
      <c r="S183" s="11"/>
      <c r="T183" s="11"/>
      <c r="U183" s="11"/>
      <c r="V183" s="11"/>
      <c r="W183" s="11"/>
      <c r="X183" s="11"/>
      <c r="Y183" s="11"/>
      <c r="Z183" s="11"/>
    </row>
    <row r="184" ht="11.25" customHeight="1">
      <c r="A184" s="92"/>
      <c r="B184" s="11"/>
      <c r="C184" s="92"/>
      <c r="D184" s="11"/>
      <c r="E184" s="11"/>
      <c r="F184" s="11"/>
      <c r="G184" s="11"/>
      <c r="H184" s="11"/>
      <c r="I184" s="11"/>
      <c r="J184" s="36"/>
      <c r="K184" s="11"/>
      <c r="L184" s="11"/>
      <c r="M184" s="11"/>
      <c r="N184" s="11"/>
      <c r="O184" s="11"/>
      <c r="P184" s="11"/>
      <c r="Q184" s="11"/>
      <c r="R184" s="11"/>
      <c r="S184" s="11"/>
      <c r="T184" s="11"/>
      <c r="U184" s="11"/>
      <c r="V184" s="11"/>
      <c r="W184" s="11"/>
      <c r="X184" s="11"/>
      <c r="Y184" s="11"/>
      <c r="Z184" s="11"/>
    </row>
    <row r="185" ht="11.25" customHeight="1">
      <c r="A185" s="92"/>
      <c r="B185" s="11"/>
      <c r="C185" s="92"/>
      <c r="D185" s="11"/>
      <c r="E185" s="11"/>
      <c r="F185" s="11"/>
      <c r="G185" s="11"/>
      <c r="H185" s="11"/>
      <c r="I185" s="11"/>
      <c r="J185" s="36"/>
      <c r="K185" s="11"/>
      <c r="L185" s="11"/>
      <c r="M185" s="11"/>
      <c r="N185" s="11"/>
      <c r="O185" s="11"/>
      <c r="P185" s="11"/>
      <c r="Q185" s="11"/>
      <c r="R185" s="11"/>
      <c r="S185" s="11"/>
      <c r="T185" s="11"/>
      <c r="U185" s="11"/>
      <c r="V185" s="11"/>
      <c r="W185" s="11"/>
      <c r="X185" s="11"/>
      <c r="Y185" s="11"/>
      <c r="Z185" s="11"/>
    </row>
    <row r="186" ht="11.25" customHeight="1">
      <c r="A186" s="92"/>
      <c r="B186" s="11"/>
      <c r="C186" s="92"/>
      <c r="D186" s="11"/>
      <c r="E186" s="11"/>
      <c r="F186" s="11"/>
      <c r="G186" s="11"/>
      <c r="H186" s="11"/>
      <c r="I186" s="11"/>
      <c r="J186" s="36"/>
      <c r="K186" s="11"/>
      <c r="L186" s="11"/>
      <c r="M186" s="11"/>
      <c r="N186" s="11"/>
      <c r="O186" s="11"/>
      <c r="P186" s="11"/>
      <c r="Q186" s="11"/>
      <c r="R186" s="11"/>
      <c r="S186" s="11"/>
      <c r="T186" s="11"/>
      <c r="U186" s="11"/>
      <c r="V186" s="11"/>
      <c r="W186" s="11"/>
      <c r="X186" s="11"/>
      <c r="Y186" s="11"/>
      <c r="Z186" s="11"/>
    </row>
    <row r="187" ht="11.25" customHeight="1">
      <c r="A187" s="92"/>
      <c r="B187" s="11"/>
      <c r="C187" s="92"/>
      <c r="D187" s="11"/>
      <c r="E187" s="11"/>
      <c r="F187" s="11"/>
      <c r="G187" s="11"/>
      <c r="H187" s="11"/>
      <c r="I187" s="11"/>
      <c r="J187" s="36"/>
      <c r="K187" s="11"/>
      <c r="L187" s="11"/>
      <c r="M187" s="11"/>
      <c r="N187" s="11"/>
      <c r="O187" s="11"/>
      <c r="P187" s="11"/>
      <c r="Q187" s="11"/>
      <c r="R187" s="11"/>
      <c r="S187" s="11"/>
      <c r="T187" s="11"/>
      <c r="U187" s="11"/>
      <c r="V187" s="11"/>
      <c r="W187" s="11"/>
      <c r="X187" s="11"/>
      <c r="Y187" s="11"/>
      <c r="Z187" s="11"/>
    </row>
    <row r="188" ht="11.25" customHeight="1">
      <c r="A188" s="92"/>
      <c r="B188" s="11"/>
      <c r="C188" s="92"/>
      <c r="D188" s="11"/>
      <c r="E188" s="11"/>
      <c r="F188" s="11"/>
      <c r="G188" s="11"/>
      <c r="H188" s="11"/>
      <c r="I188" s="11"/>
      <c r="J188" s="36"/>
      <c r="K188" s="11"/>
      <c r="L188" s="11"/>
      <c r="M188" s="11"/>
      <c r="N188" s="11"/>
      <c r="O188" s="11"/>
      <c r="P188" s="11"/>
      <c r="Q188" s="11"/>
      <c r="R188" s="11"/>
      <c r="S188" s="11"/>
      <c r="T188" s="11"/>
      <c r="U188" s="11"/>
      <c r="V188" s="11"/>
      <c r="W188" s="11"/>
      <c r="X188" s="11"/>
      <c r="Y188" s="11"/>
      <c r="Z188" s="11"/>
    </row>
    <row r="189" ht="11.25" customHeight="1">
      <c r="A189" s="92"/>
      <c r="B189" s="11"/>
      <c r="C189" s="92"/>
      <c r="D189" s="11"/>
      <c r="E189" s="11"/>
      <c r="F189" s="11"/>
      <c r="G189" s="11"/>
      <c r="H189" s="11"/>
      <c r="I189" s="11"/>
      <c r="J189" s="36"/>
      <c r="K189" s="11"/>
      <c r="L189" s="11"/>
      <c r="M189" s="11"/>
      <c r="N189" s="11"/>
      <c r="O189" s="11"/>
      <c r="P189" s="11"/>
      <c r="Q189" s="11"/>
      <c r="R189" s="11"/>
      <c r="S189" s="11"/>
      <c r="T189" s="11"/>
      <c r="U189" s="11"/>
      <c r="V189" s="11"/>
      <c r="W189" s="11"/>
      <c r="X189" s="11"/>
      <c r="Y189" s="11"/>
      <c r="Z189" s="11"/>
    </row>
    <row r="190" ht="11.25" customHeight="1">
      <c r="A190" s="92"/>
      <c r="B190" s="11"/>
      <c r="C190" s="92"/>
      <c r="D190" s="11"/>
      <c r="E190" s="11"/>
      <c r="F190" s="11"/>
      <c r="G190" s="11"/>
      <c r="H190" s="11"/>
      <c r="I190" s="11"/>
      <c r="J190" s="36"/>
      <c r="K190" s="11"/>
      <c r="L190" s="11"/>
      <c r="M190" s="11"/>
      <c r="N190" s="11"/>
      <c r="O190" s="11"/>
      <c r="P190" s="11"/>
      <c r="Q190" s="11"/>
      <c r="R190" s="11"/>
      <c r="S190" s="11"/>
      <c r="T190" s="11"/>
      <c r="U190" s="11"/>
      <c r="V190" s="11"/>
      <c r="W190" s="11"/>
      <c r="X190" s="11"/>
      <c r="Y190" s="11"/>
      <c r="Z190" s="11"/>
    </row>
    <row r="191" ht="11.25" customHeight="1">
      <c r="A191" s="92"/>
      <c r="B191" s="11"/>
      <c r="C191" s="92"/>
      <c r="D191" s="11"/>
      <c r="E191" s="11"/>
      <c r="F191" s="11"/>
      <c r="G191" s="11"/>
      <c r="H191" s="11"/>
      <c r="I191" s="11"/>
      <c r="J191" s="36"/>
      <c r="K191" s="11"/>
      <c r="L191" s="11"/>
      <c r="M191" s="11"/>
      <c r="N191" s="11"/>
      <c r="O191" s="11"/>
      <c r="P191" s="11"/>
      <c r="Q191" s="11"/>
      <c r="R191" s="11"/>
      <c r="S191" s="11"/>
      <c r="T191" s="11"/>
      <c r="U191" s="11"/>
      <c r="V191" s="11"/>
      <c r="W191" s="11"/>
      <c r="X191" s="11"/>
      <c r="Y191" s="11"/>
      <c r="Z191" s="11"/>
    </row>
    <row r="192" ht="11.25" customHeight="1">
      <c r="A192" s="92"/>
      <c r="B192" s="11"/>
      <c r="C192" s="92"/>
      <c r="D192" s="11"/>
      <c r="E192" s="11"/>
      <c r="F192" s="11"/>
      <c r="G192" s="11"/>
      <c r="H192" s="11"/>
      <c r="I192" s="11"/>
      <c r="J192" s="36"/>
      <c r="K192" s="11"/>
      <c r="L192" s="11"/>
      <c r="M192" s="11"/>
      <c r="N192" s="11"/>
      <c r="O192" s="11"/>
      <c r="P192" s="11"/>
      <c r="Q192" s="11"/>
      <c r="R192" s="11"/>
      <c r="S192" s="11"/>
      <c r="T192" s="11"/>
      <c r="U192" s="11"/>
      <c r="V192" s="11"/>
      <c r="W192" s="11"/>
      <c r="X192" s="11"/>
      <c r="Y192" s="11"/>
      <c r="Z192" s="11"/>
    </row>
    <row r="193" ht="11.25" customHeight="1">
      <c r="A193" s="92"/>
      <c r="B193" s="11"/>
      <c r="C193" s="92"/>
      <c r="D193" s="11"/>
      <c r="E193" s="11"/>
      <c r="F193" s="11"/>
      <c r="G193" s="11"/>
      <c r="H193" s="11"/>
      <c r="I193" s="11"/>
      <c r="J193" s="36"/>
      <c r="K193" s="11"/>
      <c r="L193" s="11"/>
      <c r="M193" s="11"/>
      <c r="N193" s="11"/>
      <c r="O193" s="11"/>
      <c r="P193" s="11"/>
      <c r="Q193" s="11"/>
      <c r="R193" s="11"/>
      <c r="S193" s="11"/>
      <c r="T193" s="11"/>
      <c r="U193" s="11"/>
      <c r="V193" s="11"/>
      <c r="W193" s="11"/>
      <c r="X193" s="11"/>
      <c r="Y193" s="11"/>
      <c r="Z193" s="11"/>
    </row>
    <row r="194" ht="11.25" customHeight="1">
      <c r="A194" s="92"/>
      <c r="B194" s="11"/>
      <c r="C194" s="92"/>
      <c r="D194" s="11"/>
      <c r="E194" s="11"/>
      <c r="F194" s="11"/>
      <c r="G194" s="11"/>
      <c r="H194" s="11"/>
      <c r="I194" s="11"/>
      <c r="J194" s="36"/>
      <c r="K194" s="11"/>
      <c r="L194" s="11"/>
      <c r="M194" s="11"/>
      <c r="N194" s="11"/>
      <c r="O194" s="11"/>
      <c r="P194" s="11"/>
      <c r="Q194" s="11"/>
      <c r="R194" s="11"/>
      <c r="S194" s="11"/>
      <c r="T194" s="11"/>
      <c r="U194" s="11"/>
      <c r="V194" s="11"/>
      <c r="W194" s="11"/>
      <c r="X194" s="11"/>
      <c r="Y194" s="11"/>
      <c r="Z194" s="11"/>
    </row>
    <row r="195" ht="11.25" customHeight="1">
      <c r="A195" s="92"/>
      <c r="B195" s="11"/>
      <c r="C195" s="92"/>
      <c r="D195" s="11"/>
      <c r="E195" s="11"/>
      <c r="F195" s="11"/>
      <c r="G195" s="11"/>
      <c r="H195" s="11"/>
      <c r="I195" s="11"/>
      <c r="J195" s="36"/>
      <c r="K195" s="11"/>
      <c r="L195" s="11"/>
      <c r="M195" s="11"/>
      <c r="N195" s="11"/>
      <c r="O195" s="11"/>
      <c r="P195" s="11"/>
      <c r="Q195" s="11"/>
      <c r="R195" s="11"/>
      <c r="S195" s="11"/>
      <c r="T195" s="11"/>
      <c r="U195" s="11"/>
      <c r="V195" s="11"/>
      <c r="W195" s="11"/>
      <c r="X195" s="11"/>
      <c r="Y195" s="11"/>
      <c r="Z195" s="11"/>
    </row>
    <row r="196" ht="11.25" customHeight="1">
      <c r="A196" s="92"/>
      <c r="B196" s="11"/>
      <c r="C196" s="92"/>
      <c r="D196" s="11"/>
      <c r="E196" s="11"/>
      <c r="F196" s="11"/>
      <c r="G196" s="11"/>
      <c r="H196" s="11"/>
      <c r="I196" s="11"/>
      <c r="J196" s="36"/>
      <c r="K196" s="11"/>
      <c r="L196" s="11"/>
      <c r="M196" s="11"/>
      <c r="N196" s="11"/>
      <c r="O196" s="11"/>
      <c r="P196" s="11"/>
      <c r="Q196" s="11"/>
      <c r="R196" s="11"/>
      <c r="S196" s="11"/>
      <c r="T196" s="11"/>
      <c r="U196" s="11"/>
      <c r="V196" s="11"/>
      <c r="W196" s="11"/>
      <c r="X196" s="11"/>
      <c r="Y196" s="11"/>
      <c r="Z196" s="11"/>
    </row>
    <row r="197" ht="11.25" customHeight="1">
      <c r="A197" s="92"/>
      <c r="B197" s="11"/>
      <c r="C197" s="92"/>
      <c r="D197" s="11"/>
      <c r="E197" s="11"/>
      <c r="F197" s="11"/>
      <c r="G197" s="11"/>
      <c r="H197" s="11"/>
      <c r="I197" s="11"/>
      <c r="J197" s="36"/>
      <c r="K197" s="11"/>
      <c r="L197" s="11"/>
      <c r="M197" s="11"/>
      <c r="N197" s="11"/>
      <c r="O197" s="11"/>
      <c r="P197" s="11"/>
      <c r="Q197" s="11"/>
      <c r="R197" s="11"/>
      <c r="S197" s="11"/>
      <c r="T197" s="11"/>
      <c r="U197" s="11"/>
      <c r="V197" s="11"/>
      <c r="W197" s="11"/>
      <c r="X197" s="11"/>
      <c r="Y197" s="11"/>
      <c r="Z197" s="11"/>
    </row>
    <row r="198" ht="11.25" customHeight="1">
      <c r="A198" s="92"/>
      <c r="B198" s="11"/>
      <c r="C198" s="92"/>
      <c r="D198" s="11"/>
      <c r="E198" s="11"/>
      <c r="F198" s="11"/>
      <c r="G198" s="11"/>
      <c r="H198" s="11"/>
      <c r="I198" s="11"/>
      <c r="J198" s="36"/>
      <c r="K198" s="11"/>
      <c r="L198" s="11"/>
      <c r="M198" s="11"/>
      <c r="N198" s="11"/>
      <c r="O198" s="11"/>
      <c r="P198" s="11"/>
      <c r="Q198" s="11"/>
      <c r="R198" s="11"/>
      <c r="S198" s="11"/>
      <c r="T198" s="11"/>
      <c r="U198" s="11"/>
      <c r="V198" s="11"/>
      <c r="W198" s="11"/>
      <c r="X198" s="11"/>
      <c r="Y198" s="11"/>
      <c r="Z198" s="11"/>
    </row>
    <row r="199" ht="11.25" customHeight="1">
      <c r="A199" s="92"/>
      <c r="B199" s="11"/>
      <c r="C199" s="92"/>
      <c r="D199" s="11"/>
      <c r="E199" s="11"/>
      <c r="F199" s="11"/>
      <c r="G199" s="11"/>
      <c r="H199" s="11"/>
      <c r="I199" s="11"/>
      <c r="J199" s="36"/>
      <c r="K199" s="11"/>
      <c r="L199" s="11"/>
      <c r="M199" s="11"/>
      <c r="N199" s="11"/>
      <c r="O199" s="11"/>
      <c r="P199" s="11"/>
      <c r="Q199" s="11"/>
      <c r="R199" s="11"/>
      <c r="S199" s="11"/>
      <c r="T199" s="11"/>
      <c r="U199" s="11"/>
      <c r="V199" s="11"/>
      <c r="W199" s="11"/>
      <c r="X199" s="11"/>
      <c r="Y199" s="11"/>
      <c r="Z199" s="11"/>
    </row>
    <row r="200" ht="11.25" customHeight="1">
      <c r="A200" s="92"/>
      <c r="B200" s="11"/>
      <c r="C200" s="92"/>
      <c r="D200" s="11"/>
      <c r="E200" s="11"/>
      <c r="F200" s="11"/>
      <c r="G200" s="11"/>
      <c r="H200" s="11"/>
      <c r="I200" s="11"/>
      <c r="J200" s="36"/>
      <c r="K200" s="11"/>
      <c r="L200" s="11"/>
      <c r="M200" s="11"/>
      <c r="N200" s="11"/>
      <c r="O200" s="11"/>
      <c r="P200" s="11"/>
      <c r="Q200" s="11"/>
      <c r="R200" s="11"/>
      <c r="S200" s="11"/>
      <c r="T200" s="11"/>
      <c r="U200" s="11"/>
      <c r="V200" s="11"/>
      <c r="W200" s="11"/>
      <c r="X200" s="11"/>
      <c r="Y200" s="11"/>
      <c r="Z200" s="11"/>
    </row>
    <row r="201" ht="11.25" customHeight="1">
      <c r="A201" s="92"/>
      <c r="B201" s="11"/>
      <c r="C201" s="92"/>
      <c r="D201" s="11"/>
      <c r="E201" s="11"/>
      <c r="F201" s="11"/>
      <c r="G201" s="11"/>
      <c r="H201" s="11"/>
      <c r="I201" s="11"/>
      <c r="J201" s="36"/>
      <c r="K201" s="11"/>
      <c r="L201" s="11"/>
      <c r="M201" s="11"/>
      <c r="N201" s="11"/>
      <c r="O201" s="11"/>
      <c r="P201" s="11"/>
      <c r="Q201" s="11"/>
      <c r="R201" s="11"/>
      <c r="S201" s="11"/>
      <c r="T201" s="11"/>
      <c r="U201" s="11"/>
      <c r="V201" s="11"/>
      <c r="W201" s="11"/>
      <c r="X201" s="11"/>
      <c r="Y201" s="11"/>
      <c r="Z201" s="11"/>
    </row>
    <row r="202" ht="11.25" customHeight="1">
      <c r="A202" s="92"/>
      <c r="B202" s="11"/>
      <c r="C202" s="92"/>
      <c r="D202" s="11"/>
      <c r="E202" s="11"/>
      <c r="F202" s="11"/>
      <c r="G202" s="11"/>
      <c r="H202" s="11"/>
      <c r="I202" s="11"/>
      <c r="J202" s="36"/>
      <c r="K202" s="11"/>
      <c r="L202" s="11"/>
      <c r="M202" s="11"/>
      <c r="N202" s="11"/>
      <c r="O202" s="11"/>
      <c r="P202" s="11"/>
      <c r="Q202" s="11"/>
      <c r="R202" s="11"/>
      <c r="S202" s="11"/>
      <c r="T202" s="11"/>
      <c r="U202" s="11"/>
      <c r="V202" s="11"/>
      <c r="W202" s="11"/>
      <c r="X202" s="11"/>
      <c r="Y202" s="11"/>
      <c r="Z202" s="11"/>
    </row>
    <row r="203" ht="11.25" customHeight="1">
      <c r="A203" s="92"/>
      <c r="B203" s="11"/>
      <c r="C203" s="92"/>
      <c r="D203" s="11"/>
      <c r="E203" s="11"/>
      <c r="F203" s="11"/>
      <c r="G203" s="11"/>
      <c r="H203" s="11"/>
      <c r="I203" s="11"/>
      <c r="J203" s="36"/>
      <c r="K203" s="11"/>
      <c r="L203" s="11"/>
      <c r="M203" s="11"/>
      <c r="N203" s="11"/>
      <c r="O203" s="11"/>
      <c r="P203" s="11"/>
      <c r="Q203" s="11"/>
      <c r="R203" s="11"/>
      <c r="S203" s="11"/>
      <c r="T203" s="11"/>
      <c r="U203" s="11"/>
      <c r="V203" s="11"/>
      <c r="W203" s="11"/>
      <c r="X203" s="11"/>
      <c r="Y203" s="11"/>
      <c r="Z203" s="11"/>
    </row>
    <row r="204" ht="11.25" customHeight="1">
      <c r="A204" s="92"/>
      <c r="B204" s="11"/>
      <c r="C204" s="92"/>
      <c r="D204" s="11"/>
      <c r="E204" s="11"/>
      <c r="F204" s="11"/>
      <c r="G204" s="11"/>
      <c r="H204" s="11"/>
      <c r="I204" s="11"/>
      <c r="J204" s="36"/>
      <c r="K204" s="11"/>
      <c r="L204" s="11"/>
      <c r="M204" s="11"/>
      <c r="N204" s="11"/>
      <c r="O204" s="11"/>
      <c r="P204" s="11"/>
      <c r="Q204" s="11"/>
      <c r="R204" s="11"/>
      <c r="S204" s="11"/>
      <c r="T204" s="11"/>
      <c r="U204" s="11"/>
      <c r="V204" s="11"/>
      <c r="W204" s="11"/>
      <c r="X204" s="11"/>
      <c r="Y204" s="11"/>
      <c r="Z204" s="11"/>
    </row>
    <row r="205" ht="11.25" customHeight="1">
      <c r="A205" s="92"/>
      <c r="B205" s="11"/>
      <c r="C205" s="92"/>
      <c r="D205" s="11"/>
      <c r="E205" s="11"/>
      <c r="F205" s="11"/>
      <c r="G205" s="11"/>
      <c r="H205" s="11"/>
      <c r="I205" s="11"/>
      <c r="J205" s="36"/>
      <c r="K205" s="11"/>
      <c r="L205" s="11"/>
      <c r="M205" s="11"/>
      <c r="N205" s="11"/>
      <c r="O205" s="11"/>
      <c r="P205" s="11"/>
      <c r="Q205" s="11"/>
      <c r="R205" s="11"/>
      <c r="S205" s="11"/>
      <c r="T205" s="11"/>
      <c r="U205" s="11"/>
      <c r="V205" s="11"/>
      <c r="W205" s="11"/>
      <c r="X205" s="11"/>
      <c r="Y205" s="11"/>
      <c r="Z205" s="11"/>
    </row>
    <row r="206" ht="11.25" customHeight="1">
      <c r="A206" s="92"/>
      <c r="B206" s="11"/>
      <c r="C206" s="92"/>
      <c r="D206" s="11"/>
      <c r="E206" s="11"/>
      <c r="F206" s="11"/>
      <c r="G206" s="11"/>
      <c r="H206" s="11"/>
      <c r="I206" s="11"/>
      <c r="J206" s="36"/>
      <c r="K206" s="11"/>
      <c r="L206" s="11"/>
      <c r="M206" s="11"/>
      <c r="N206" s="11"/>
      <c r="O206" s="11"/>
      <c r="P206" s="11"/>
      <c r="Q206" s="11"/>
      <c r="R206" s="11"/>
      <c r="S206" s="11"/>
      <c r="T206" s="11"/>
      <c r="U206" s="11"/>
      <c r="V206" s="11"/>
      <c r="W206" s="11"/>
      <c r="X206" s="11"/>
      <c r="Y206" s="11"/>
      <c r="Z206" s="11"/>
    </row>
    <row r="207" ht="11.25" customHeight="1">
      <c r="A207" s="92"/>
      <c r="B207" s="11"/>
      <c r="C207" s="92"/>
      <c r="D207" s="11"/>
      <c r="E207" s="11"/>
      <c r="F207" s="11"/>
      <c r="G207" s="11"/>
      <c r="H207" s="11"/>
      <c r="I207" s="11"/>
      <c r="J207" s="36"/>
      <c r="K207" s="11"/>
      <c r="L207" s="11"/>
      <c r="M207" s="11"/>
      <c r="N207" s="11"/>
      <c r="O207" s="11"/>
      <c r="P207" s="11"/>
      <c r="Q207" s="11"/>
      <c r="R207" s="11"/>
      <c r="S207" s="11"/>
      <c r="T207" s="11"/>
      <c r="U207" s="11"/>
      <c r="V207" s="11"/>
      <c r="W207" s="11"/>
      <c r="X207" s="11"/>
      <c r="Y207" s="11"/>
      <c r="Z207" s="11"/>
    </row>
    <row r="208" ht="11.25" customHeight="1">
      <c r="A208" s="92"/>
      <c r="B208" s="11"/>
      <c r="C208" s="92"/>
      <c r="D208" s="11"/>
      <c r="E208" s="11"/>
      <c r="F208" s="11"/>
      <c r="G208" s="11"/>
      <c r="H208" s="11"/>
      <c r="I208" s="11"/>
      <c r="J208" s="36"/>
      <c r="K208" s="11"/>
      <c r="L208" s="11"/>
      <c r="M208" s="11"/>
      <c r="N208" s="11"/>
      <c r="O208" s="11"/>
      <c r="P208" s="11"/>
      <c r="Q208" s="11"/>
      <c r="R208" s="11"/>
      <c r="S208" s="11"/>
      <c r="T208" s="11"/>
      <c r="U208" s="11"/>
      <c r="V208" s="11"/>
      <c r="W208" s="11"/>
      <c r="X208" s="11"/>
      <c r="Y208" s="11"/>
      <c r="Z208" s="11"/>
    </row>
    <row r="209" ht="11.25" customHeight="1">
      <c r="A209" s="92"/>
      <c r="B209" s="11"/>
      <c r="C209" s="92"/>
      <c r="D209" s="11"/>
      <c r="E209" s="11"/>
      <c r="F209" s="11"/>
      <c r="G209" s="11"/>
      <c r="H209" s="11"/>
      <c r="I209" s="11"/>
      <c r="J209" s="36"/>
      <c r="K209" s="11"/>
      <c r="L209" s="11"/>
      <c r="M209" s="11"/>
      <c r="N209" s="11"/>
      <c r="O209" s="11"/>
      <c r="P209" s="11"/>
      <c r="Q209" s="11"/>
      <c r="R209" s="11"/>
      <c r="S209" s="11"/>
      <c r="T209" s="11"/>
      <c r="U209" s="11"/>
      <c r="V209" s="11"/>
      <c r="W209" s="11"/>
      <c r="X209" s="11"/>
      <c r="Y209" s="11"/>
      <c r="Z209" s="11"/>
    </row>
    <row r="210" ht="11.25" customHeight="1">
      <c r="A210" s="92"/>
      <c r="B210" s="11"/>
      <c r="C210" s="92"/>
      <c r="D210" s="11"/>
      <c r="E210" s="11"/>
      <c r="F210" s="11"/>
      <c r="G210" s="11"/>
      <c r="H210" s="11"/>
      <c r="I210" s="11"/>
      <c r="J210" s="36"/>
      <c r="K210" s="11"/>
      <c r="L210" s="11"/>
      <c r="M210" s="11"/>
      <c r="N210" s="11"/>
      <c r="O210" s="11"/>
      <c r="P210" s="11"/>
      <c r="Q210" s="11"/>
      <c r="R210" s="11"/>
      <c r="S210" s="11"/>
      <c r="T210" s="11"/>
      <c r="U210" s="11"/>
      <c r="V210" s="11"/>
      <c r="W210" s="11"/>
      <c r="X210" s="11"/>
      <c r="Y210" s="11"/>
      <c r="Z210" s="11"/>
    </row>
    <row r="211" ht="11.25" customHeight="1">
      <c r="A211" s="92"/>
      <c r="B211" s="11"/>
      <c r="C211" s="92"/>
      <c r="D211" s="11"/>
      <c r="E211" s="11"/>
      <c r="F211" s="11"/>
      <c r="G211" s="11"/>
      <c r="H211" s="11"/>
      <c r="I211" s="11"/>
      <c r="J211" s="36"/>
      <c r="K211" s="11"/>
      <c r="L211" s="11"/>
      <c r="M211" s="11"/>
      <c r="N211" s="11"/>
      <c r="O211" s="11"/>
      <c r="P211" s="11"/>
      <c r="Q211" s="11"/>
      <c r="R211" s="11"/>
      <c r="S211" s="11"/>
      <c r="T211" s="11"/>
      <c r="U211" s="11"/>
      <c r="V211" s="11"/>
      <c r="W211" s="11"/>
      <c r="X211" s="11"/>
      <c r="Y211" s="11"/>
      <c r="Z211" s="11"/>
    </row>
    <row r="212" ht="11.25" customHeight="1">
      <c r="A212" s="92"/>
      <c r="B212" s="11"/>
      <c r="C212" s="92"/>
      <c r="D212" s="11"/>
      <c r="E212" s="11"/>
      <c r="F212" s="11"/>
      <c r="G212" s="11"/>
      <c r="H212" s="11"/>
      <c r="I212" s="11"/>
      <c r="J212" s="36"/>
      <c r="K212" s="11"/>
      <c r="L212" s="11"/>
      <c r="M212" s="11"/>
      <c r="N212" s="11"/>
      <c r="O212" s="11"/>
      <c r="P212" s="11"/>
      <c r="Q212" s="11"/>
      <c r="R212" s="11"/>
      <c r="S212" s="11"/>
      <c r="T212" s="11"/>
      <c r="U212" s="11"/>
      <c r="V212" s="11"/>
      <c r="W212" s="11"/>
      <c r="X212" s="11"/>
      <c r="Y212" s="11"/>
      <c r="Z212" s="11"/>
    </row>
    <row r="213" ht="11.25" customHeight="1">
      <c r="A213" s="92"/>
      <c r="B213" s="11"/>
      <c r="C213" s="92"/>
      <c r="D213" s="11"/>
      <c r="E213" s="11"/>
      <c r="F213" s="11"/>
      <c r="G213" s="11"/>
      <c r="H213" s="11"/>
      <c r="I213" s="11"/>
      <c r="J213" s="36"/>
      <c r="K213" s="11"/>
      <c r="L213" s="11"/>
      <c r="M213" s="11"/>
      <c r="N213" s="11"/>
      <c r="O213" s="11"/>
      <c r="P213" s="11"/>
      <c r="Q213" s="11"/>
      <c r="R213" s="11"/>
      <c r="S213" s="11"/>
      <c r="T213" s="11"/>
      <c r="U213" s="11"/>
      <c r="V213" s="11"/>
      <c r="W213" s="11"/>
      <c r="X213" s="11"/>
      <c r="Y213" s="11"/>
      <c r="Z213" s="11"/>
    </row>
    <row r="214" ht="11.25" customHeight="1">
      <c r="A214" s="92"/>
      <c r="B214" s="11"/>
      <c r="C214" s="92"/>
      <c r="D214" s="11"/>
      <c r="E214" s="11"/>
      <c r="F214" s="11"/>
      <c r="G214" s="11"/>
      <c r="H214" s="11"/>
      <c r="I214" s="11"/>
      <c r="J214" s="36"/>
      <c r="K214" s="11"/>
      <c r="L214" s="11"/>
      <c r="M214" s="11"/>
      <c r="N214" s="11"/>
      <c r="O214" s="11"/>
      <c r="P214" s="11"/>
      <c r="Q214" s="11"/>
      <c r="R214" s="11"/>
      <c r="S214" s="11"/>
      <c r="T214" s="11"/>
      <c r="U214" s="11"/>
      <c r="V214" s="11"/>
      <c r="W214" s="11"/>
      <c r="X214" s="11"/>
      <c r="Y214" s="11"/>
      <c r="Z214" s="11"/>
    </row>
    <row r="215" ht="11.25" customHeight="1">
      <c r="A215" s="92"/>
      <c r="B215" s="11"/>
      <c r="C215" s="92"/>
      <c r="D215" s="11"/>
      <c r="E215" s="11"/>
      <c r="F215" s="11"/>
      <c r="G215" s="11"/>
      <c r="H215" s="11"/>
      <c r="I215" s="11"/>
      <c r="J215" s="36"/>
      <c r="K215" s="11"/>
      <c r="L215" s="11"/>
      <c r="M215" s="11"/>
      <c r="N215" s="11"/>
      <c r="O215" s="11"/>
      <c r="P215" s="11"/>
      <c r="Q215" s="11"/>
      <c r="R215" s="11"/>
      <c r="S215" s="11"/>
      <c r="T215" s="11"/>
      <c r="U215" s="11"/>
      <c r="V215" s="11"/>
      <c r="W215" s="11"/>
      <c r="X215" s="11"/>
      <c r="Y215" s="11"/>
      <c r="Z215" s="11"/>
    </row>
    <row r="216" ht="11.25" customHeight="1">
      <c r="A216" s="92"/>
      <c r="B216" s="11"/>
      <c r="C216" s="92"/>
      <c r="D216" s="11"/>
      <c r="E216" s="11"/>
      <c r="F216" s="11"/>
      <c r="G216" s="11"/>
      <c r="H216" s="11"/>
      <c r="I216" s="11"/>
      <c r="J216" s="36"/>
      <c r="K216" s="11"/>
      <c r="L216" s="11"/>
      <c r="M216" s="11"/>
      <c r="N216" s="11"/>
      <c r="O216" s="11"/>
      <c r="P216" s="11"/>
      <c r="Q216" s="11"/>
      <c r="R216" s="11"/>
      <c r="S216" s="11"/>
      <c r="T216" s="11"/>
      <c r="U216" s="11"/>
      <c r="V216" s="11"/>
      <c r="W216" s="11"/>
      <c r="X216" s="11"/>
      <c r="Y216" s="11"/>
      <c r="Z216" s="11"/>
    </row>
    <row r="217" ht="11.25" customHeight="1">
      <c r="A217" s="92"/>
      <c r="B217" s="11"/>
      <c r="C217" s="92"/>
      <c r="D217" s="11"/>
      <c r="E217" s="11"/>
      <c r="F217" s="11"/>
      <c r="G217" s="11"/>
      <c r="H217" s="11"/>
      <c r="I217" s="11"/>
      <c r="J217" s="36"/>
      <c r="K217" s="11"/>
      <c r="L217" s="11"/>
      <c r="M217" s="11"/>
      <c r="N217" s="11"/>
      <c r="O217" s="11"/>
      <c r="P217" s="11"/>
      <c r="Q217" s="11"/>
      <c r="R217" s="11"/>
      <c r="S217" s="11"/>
      <c r="T217" s="11"/>
      <c r="U217" s="11"/>
      <c r="V217" s="11"/>
      <c r="W217" s="11"/>
      <c r="X217" s="11"/>
      <c r="Y217" s="11"/>
      <c r="Z217" s="11"/>
    </row>
    <row r="218" ht="11.25" customHeight="1">
      <c r="A218" s="92"/>
      <c r="B218" s="11"/>
      <c r="C218" s="92"/>
      <c r="D218" s="11"/>
      <c r="E218" s="11"/>
      <c r="F218" s="11"/>
      <c r="G218" s="11"/>
      <c r="H218" s="11"/>
      <c r="I218" s="11"/>
      <c r="J218" s="36"/>
      <c r="K218" s="11"/>
      <c r="L218" s="11"/>
      <c r="M218" s="11"/>
      <c r="N218" s="11"/>
      <c r="O218" s="11"/>
      <c r="P218" s="11"/>
      <c r="Q218" s="11"/>
      <c r="R218" s="11"/>
      <c r="S218" s="11"/>
      <c r="T218" s="11"/>
      <c r="U218" s="11"/>
      <c r="V218" s="11"/>
      <c r="W218" s="11"/>
      <c r="X218" s="11"/>
      <c r="Y218" s="11"/>
      <c r="Z218" s="11"/>
    </row>
    <row r="219" ht="11.25" customHeight="1">
      <c r="A219" s="92"/>
      <c r="B219" s="11"/>
      <c r="C219" s="92"/>
      <c r="D219" s="11"/>
      <c r="E219" s="11"/>
      <c r="F219" s="11"/>
      <c r="G219" s="11"/>
      <c r="H219" s="11"/>
      <c r="I219" s="11"/>
      <c r="J219" s="36"/>
      <c r="K219" s="11"/>
      <c r="L219" s="11"/>
      <c r="M219" s="11"/>
      <c r="N219" s="11"/>
      <c r="O219" s="11"/>
      <c r="P219" s="11"/>
      <c r="Q219" s="11"/>
      <c r="R219" s="11"/>
      <c r="S219" s="11"/>
      <c r="T219" s="11"/>
      <c r="U219" s="11"/>
      <c r="V219" s="11"/>
      <c r="W219" s="11"/>
      <c r="X219" s="11"/>
      <c r="Y219" s="11"/>
      <c r="Z219" s="11"/>
    </row>
    <row r="220" ht="11.25" customHeight="1">
      <c r="A220" s="92"/>
      <c r="B220" s="11"/>
      <c r="C220" s="92"/>
      <c r="D220" s="11"/>
      <c r="E220" s="11"/>
      <c r="F220" s="11"/>
      <c r="G220" s="11"/>
      <c r="H220" s="11"/>
      <c r="I220" s="11"/>
      <c r="J220" s="36"/>
      <c r="K220" s="11"/>
      <c r="L220" s="11"/>
      <c r="M220" s="11"/>
      <c r="N220" s="11"/>
      <c r="O220" s="11"/>
      <c r="P220" s="11"/>
      <c r="Q220" s="11"/>
      <c r="R220" s="11"/>
      <c r="S220" s="11"/>
      <c r="T220" s="11"/>
      <c r="U220" s="11"/>
      <c r="V220" s="11"/>
      <c r="W220" s="11"/>
      <c r="X220" s="11"/>
      <c r="Y220" s="11"/>
      <c r="Z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K1"/>
    <mergeCell ref="A2:D2"/>
    <mergeCell ref="G2:J2"/>
    <mergeCell ref="C3:E3"/>
    <mergeCell ref="G3:I3"/>
  </mergeCells>
  <printOptions headings="0" gridLines="0"/>
  <pageMargins left="0.51181102362204689" right="0.51181102362204689" top="1.181102362204725" bottom="1.18110236220472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B3" activeCellId="0" sqref="B3"/>
    </sheetView>
  </sheetViews>
  <sheetFormatPr baseColWidth="8" defaultColWidth="12.630000000000001" defaultRowHeight="15" customHeight="1"/>
  <cols>
    <col customWidth="1" min="1" max="1" width="5.6299999999999999"/>
    <col bestFit="1" customWidth="1" min="2" max="2" width="35.375"/>
    <col customWidth="1" min="3" max="3" width="12.125"/>
    <col customWidth="1" min="4" max="4" width="13.25"/>
    <col customWidth="1" min="5" max="5" width="8.8800000000000008"/>
    <col customWidth="1" min="6" max="6" width="12.5"/>
    <col customWidth="1" min="7" max="7" width="11.880000000000001"/>
    <col customWidth="1" min="8" max="8" width="22.5"/>
    <col customWidth="1" min="9" max="9" width="21.25"/>
    <col customWidth="1" min="10" max="10" width="26.629999999999999"/>
    <col customWidth="1" min="11" max="25" width="8.6300000000000008"/>
  </cols>
  <sheetData>
    <row r="1" ht="21" customHeight="1">
      <c r="A1" s="58" t="s">
        <v>135</v>
      </c>
      <c r="B1" s="13"/>
      <c r="C1" s="13"/>
      <c r="D1" s="13"/>
      <c r="E1" s="13"/>
      <c r="F1" s="13"/>
      <c r="G1" s="13"/>
      <c r="H1" s="13"/>
      <c r="I1" s="13"/>
      <c r="J1" s="13"/>
      <c r="K1" s="96"/>
      <c r="L1" s="96"/>
      <c r="M1" s="96"/>
      <c r="N1" s="96"/>
      <c r="O1" s="96"/>
      <c r="P1" s="96"/>
      <c r="Q1" s="96"/>
      <c r="R1" s="96"/>
      <c r="S1" s="96"/>
      <c r="T1" s="96"/>
      <c r="U1" s="96"/>
      <c r="V1" s="96"/>
      <c r="W1" s="96"/>
      <c r="X1" s="96"/>
      <c r="Y1" s="96"/>
    </row>
    <row r="2" ht="10.5" hidden="1" customHeight="1">
      <c r="A2" s="97"/>
      <c r="B2" s="97"/>
      <c r="C2" s="97"/>
      <c r="D2" s="97"/>
      <c r="E2" s="97"/>
      <c r="F2" s="97"/>
      <c r="G2" s="97"/>
      <c r="H2" s="97"/>
      <c r="I2" s="97"/>
      <c r="J2" s="97"/>
      <c r="K2" s="97"/>
      <c r="L2" s="97"/>
      <c r="M2" s="97"/>
      <c r="N2" s="97"/>
      <c r="O2" s="97"/>
      <c r="P2" s="97"/>
      <c r="Q2" s="97"/>
      <c r="R2" s="97"/>
      <c r="S2" s="97"/>
      <c r="T2" s="97"/>
      <c r="U2" s="97"/>
      <c r="V2" s="97"/>
      <c r="W2" s="97"/>
      <c r="X2" s="97"/>
      <c r="Y2" s="97"/>
    </row>
    <row r="3" ht="10.5" hidden="1" customHeight="1">
      <c r="A3" s="97"/>
      <c r="B3" s="97"/>
      <c r="C3" s="97"/>
      <c r="D3" s="98" t="s">
        <v>136</v>
      </c>
      <c r="E3" s="97"/>
      <c r="F3" s="97"/>
      <c r="G3" s="97"/>
      <c r="H3" s="97"/>
      <c r="I3" s="97"/>
      <c r="J3" s="97"/>
      <c r="K3" s="97"/>
      <c r="L3" s="97"/>
      <c r="M3" s="97"/>
      <c r="N3" s="97"/>
      <c r="O3" s="97"/>
      <c r="P3" s="97"/>
      <c r="Q3" s="97"/>
      <c r="R3" s="97"/>
      <c r="S3" s="97"/>
      <c r="T3" s="97"/>
      <c r="U3" s="97"/>
      <c r="V3" s="97"/>
      <c r="W3" s="97"/>
      <c r="X3" s="97"/>
      <c r="Y3" s="97"/>
    </row>
    <row r="4" ht="10.5" hidden="1" customHeight="1">
      <c r="A4" s="97"/>
      <c r="B4" s="97"/>
      <c r="C4" s="97"/>
      <c r="D4" s="99" t="s">
        <v>137</v>
      </c>
      <c r="E4" s="97"/>
      <c r="F4" s="97"/>
      <c r="G4" s="97"/>
      <c r="H4" s="97"/>
      <c r="I4" s="97"/>
      <c r="J4" s="97"/>
      <c r="K4" s="97"/>
      <c r="L4" s="97"/>
      <c r="M4" s="97"/>
      <c r="N4" s="97"/>
      <c r="O4" s="97"/>
      <c r="P4" s="97"/>
      <c r="Q4" s="97"/>
      <c r="R4" s="97"/>
      <c r="S4" s="97"/>
      <c r="T4" s="97"/>
      <c r="U4" s="97"/>
      <c r="V4" s="97"/>
      <c r="W4" s="97"/>
      <c r="X4" s="97"/>
      <c r="Y4" s="97"/>
    </row>
    <row r="5" ht="10.5" hidden="1" customHeight="1">
      <c r="A5" s="97"/>
      <c r="B5" s="97"/>
      <c r="C5" s="97"/>
      <c r="D5" s="99" t="s">
        <v>138</v>
      </c>
      <c r="E5" s="97"/>
      <c r="F5" s="97"/>
      <c r="G5" s="97"/>
      <c r="H5" s="97"/>
      <c r="I5" s="97"/>
      <c r="J5" s="97"/>
      <c r="K5" s="97"/>
      <c r="L5" s="97"/>
      <c r="M5" s="97"/>
      <c r="N5" s="97"/>
      <c r="O5" s="97"/>
      <c r="P5" s="97"/>
      <c r="Q5" s="97"/>
      <c r="R5" s="97"/>
      <c r="S5" s="97"/>
      <c r="T5" s="97"/>
      <c r="U5" s="97"/>
      <c r="V5" s="97"/>
      <c r="W5" s="97"/>
      <c r="X5" s="97"/>
      <c r="Y5" s="97"/>
    </row>
    <row r="6" ht="10.5" hidden="1" customHeight="1">
      <c r="A6" s="97"/>
      <c r="B6" s="97"/>
      <c r="C6" s="97"/>
      <c r="D6" s="99" t="s">
        <v>139</v>
      </c>
      <c r="E6" s="97"/>
      <c r="F6" s="97"/>
      <c r="G6" s="97"/>
      <c r="H6" s="97"/>
      <c r="I6" s="97"/>
      <c r="J6" s="97"/>
      <c r="K6" s="97"/>
      <c r="L6" s="97"/>
      <c r="M6" s="97"/>
      <c r="N6" s="97"/>
      <c r="O6" s="97"/>
      <c r="P6" s="97"/>
      <c r="Q6" s="97"/>
      <c r="R6" s="97"/>
      <c r="S6" s="97"/>
      <c r="T6" s="97"/>
      <c r="U6" s="97"/>
      <c r="V6" s="97"/>
      <c r="W6" s="97"/>
      <c r="X6" s="97"/>
      <c r="Y6" s="97"/>
    </row>
    <row r="7" ht="10.5" hidden="1" customHeight="1">
      <c r="A7" s="97"/>
      <c r="B7" s="97"/>
      <c r="C7" s="97"/>
      <c r="D7" s="99" t="s">
        <v>140</v>
      </c>
      <c r="E7" s="97"/>
      <c r="F7" s="97"/>
      <c r="G7" s="97"/>
      <c r="H7" s="97"/>
      <c r="I7" s="97"/>
      <c r="J7" s="97"/>
      <c r="K7" s="97"/>
      <c r="L7" s="97"/>
      <c r="M7" s="97"/>
      <c r="N7" s="97"/>
      <c r="O7" s="97"/>
      <c r="P7" s="97"/>
      <c r="Q7" s="97"/>
      <c r="R7" s="97"/>
      <c r="S7" s="97"/>
      <c r="T7" s="97"/>
      <c r="U7" s="97"/>
      <c r="V7" s="97"/>
      <c r="W7" s="97"/>
      <c r="X7" s="97"/>
      <c r="Y7" s="97"/>
    </row>
    <row r="8" ht="10.5" hidden="1" customHeight="1">
      <c r="A8" s="97"/>
      <c r="B8" s="97"/>
      <c r="C8" s="97"/>
      <c r="D8" s="99" t="s">
        <v>141</v>
      </c>
      <c r="E8" s="97"/>
      <c r="F8" s="97"/>
      <c r="G8" s="97"/>
      <c r="H8" s="97"/>
      <c r="I8" s="97"/>
      <c r="J8" s="97"/>
      <c r="K8" s="97"/>
      <c r="L8" s="97"/>
      <c r="M8" s="97"/>
      <c r="N8" s="97"/>
      <c r="O8" s="97"/>
      <c r="P8" s="97"/>
      <c r="Q8" s="97"/>
      <c r="R8" s="97"/>
      <c r="S8" s="97"/>
      <c r="T8" s="97"/>
      <c r="U8" s="97"/>
      <c r="V8" s="97"/>
      <c r="W8" s="97"/>
      <c r="X8" s="97"/>
      <c r="Y8" s="97"/>
    </row>
    <row r="9" ht="10.5" hidden="1" customHeight="1">
      <c r="A9" s="97"/>
      <c r="B9" s="97"/>
      <c r="C9" s="97"/>
      <c r="D9" s="99" t="s">
        <v>142</v>
      </c>
      <c r="E9" s="97"/>
      <c r="F9" s="97"/>
      <c r="G9" s="97"/>
      <c r="H9" s="97"/>
      <c r="I9" s="97"/>
      <c r="J9" s="97"/>
      <c r="K9" s="97"/>
      <c r="L9" s="97"/>
      <c r="M9" s="97"/>
      <c r="N9" s="97"/>
      <c r="O9" s="97"/>
      <c r="P9" s="97"/>
      <c r="Q9" s="97"/>
      <c r="R9" s="97"/>
      <c r="S9" s="97"/>
      <c r="T9" s="97"/>
      <c r="U9" s="97"/>
      <c r="V9" s="97"/>
      <c r="W9" s="97"/>
      <c r="X9" s="97"/>
      <c r="Y9" s="97"/>
    </row>
    <row r="10" ht="10.5" hidden="1" customHeight="1">
      <c r="A10" s="97"/>
      <c r="B10" s="97"/>
      <c r="C10" s="97"/>
      <c r="D10" s="99" t="s">
        <v>143</v>
      </c>
      <c r="E10" s="97"/>
      <c r="F10" s="97"/>
      <c r="G10" s="97"/>
      <c r="H10" s="97"/>
      <c r="I10" s="97"/>
      <c r="J10" s="97"/>
      <c r="K10" s="97"/>
      <c r="L10" s="97"/>
      <c r="M10" s="97"/>
      <c r="N10" s="97"/>
      <c r="O10" s="97"/>
      <c r="P10" s="97"/>
      <c r="Q10" s="97"/>
      <c r="R10" s="97"/>
      <c r="S10" s="97"/>
      <c r="T10" s="97"/>
      <c r="U10" s="97"/>
      <c r="V10" s="97"/>
      <c r="W10" s="97"/>
      <c r="X10" s="97"/>
      <c r="Y10" s="97"/>
    </row>
    <row r="11" ht="10.5" hidden="1" customHeight="1">
      <c r="A11" s="97"/>
      <c r="B11" s="97"/>
      <c r="C11" s="97"/>
      <c r="D11" s="99" t="s">
        <v>144</v>
      </c>
      <c r="E11" s="97"/>
      <c r="F11" s="97"/>
      <c r="G11" s="97"/>
      <c r="H11" s="97"/>
      <c r="I11" s="97"/>
      <c r="J11" s="97"/>
      <c r="K11" s="97"/>
      <c r="L11" s="97"/>
      <c r="M11" s="97"/>
      <c r="N11" s="97"/>
      <c r="O11" s="97"/>
      <c r="P11" s="97"/>
      <c r="Q11" s="97"/>
      <c r="R11" s="97"/>
      <c r="S11" s="97"/>
      <c r="T11" s="97"/>
      <c r="U11" s="97"/>
      <c r="V11" s="97"/>
      <c r="W11" s="97"/>
      <c r="X11" s="97"/>
      <c r="Y11" s="97"/>
    </row>
    <row r="12" ht="10.5" hidden="1" customHeight="1">
      <c r="A12" s="97"/>
      <c r="B12" s="97"/>
      <c r="C12" s="97"/>
      <c r="D12" s="99" t="s">
        <v>145</v>
      </c>
      <c r="E12" s="97"/>
      <c r="F12" s="97"/>
      <c r="G12" s="97"/>
      <c r="H12" s="97"/>
      <c r="I12" s="97"/>
      <c r="J12" s="97"/>
      <c r="K12" s="97"/>
      <c r="L12" s="97"/>
      <c r="M12" s="97"/>
      <c r="N12" s="97"/>
      <c r="O12" s="97"/>
      <c r="P12" s="97"/>
      <c r="Q12" s="97"/>
      <c r="R12" s="97"/>
      <c r="S12" s="97"/>
      <c r="T12" s="97"/>
      <c r="U12" s="97"/>
      <c r="V12" s="97"/>
      <c r="W12" s="97"/>
      <c r="X12" s="97"/>
      <c r="Y12" s="97"/>
    </row>
    <row r="13" ht="10.5" hidden="1" customHeight="1">
      <c r="A13" s="97"/>
      <c r="B13" s="97"/>
      <c r="C13" s="97"/>
      <c r="D13" s="99" t="s">
        <v>146</v>
      </c>
      <c r="E13" s="97"/>
      <c r="F13" s="97"/>
      <c r="G13" s="97"/>
      <c r="H13" s="97"/>
      <c r="I13" s="97"/>
      <c r="J13" s="97"/>
      <c r="K13" s="97"/>
      <c r="L13" s="97"/>
      <c r="M13" s="97"/>
      <c r="N13" s="97"/>
      <c r="O13" s="97"/>
      <c r="P13" s="97"/>
      <c r="Q13" s="97"/>
      <c r="R13" s="97"/>
      <c r="S13" s="97"/>
      <c r="T13" s="97"/>
      <c r="U13" s="97"/>
      <c r="V13" s="97"/>
      <c r="W13" s="97"/>
      <c r="X13" s="97"/>
      <c r="Y13" s="97"/>
    </row>
    <row r="14" ht="10.5" hidden="1" customHeight="1">
      <c r="A14" s="97"/>
      <c r="B14" s="97"/>
      <c r="C14" s="97"/>
      <c r="D14" s="98" t="s">
        <v>147</v>
      </c>
      <c r="E14" s="97"/>
      <c r="F14" s="97"/>
      <c r="G14" s="97"/>
      <c r="H14" s="97"/>
      <c r="I14" s="97"/>
      <c r="J14" s="97"/>
      <c r="K14" s="97"/>
      <c r="L14" s="97"/>
      <c r="M14" s="97"/>
      <c r="N14" s="97"/>
      <c r="O14" s="97"/>
      <c r="P14" s="97"/>
      <c r="Q14" s="97"/>
      <c r="R14" s="97"/>
      <c r="S14" s="97"/>
      <c r="T14" s="97"/>
      <c r="U14" s="97"/>
      <c r="V14" s="97"/>
      <c r="W14" s="97"/>
      <c r="X14" s="97"/>
      <c r="Y14" s="97"/>
    </row>
    <row r="15" ht="10.5" hidden="1" customHeight="1">
      <c r="A15" s="97"/>
      <c r="B15" s="97"/>
      <c r="C15" s="97"/>
      <c r="D15" s="99" t="s">
        <v>148</v>
      </c>
      <c r="E15" s="97"/>
      <c r="F15" s="97"/>
      <c r="G15" s="97"/>
      <c r="H15" s="97"/>
      <c r="I15" s="97"/>
      <c r="J15" s="97"/>
      <c r="K15" s="97"/>
      <c r="L15" s="97"/>
      <c r="M15" s="97"/>
      <c r="N15" s="97"/>
      <c r="O15" s="97"/>
      <c r="P15" s="97"/>
      <c r="Q15" s="97"/>
      <c r="R15" s="97"/>
      <c r="S15" s="97"/>
      <c r="T15" s="97"/>
      <c r="U15" s="97"/>
      <c r="V15" s="97"/>
      <c r="W15" s="97"/>
      <c r="X15" s="97"/>
      <c r="Y15" s="97"/>
    </row>
    <row r="16" ht="10.5" hidden="1" customHeight="1">
      <c r="A16" s="97"/>
      <c r="B16" s="97"/>
      <c r="C16" s="97"/>
      <c r="D16" s="99" t="s">
        <v>149</v>
      </c>
      <c r="E16" s="97"/>
      <c r="F16" s="97"/>
      <c r="G16" s="97"/>
      <c r="H16" s="97"/>
      <c r="I16" s="97"/>
      <c r="J16" s="97"/>
      <c r="K16" s="97"/>
      <c r="L16" s="97"/>
      <c r="M16" s="97"/>
      <c r="N16" s="97"/>
      <c r="O16" s="97"/>
      <c r="P16" s="97"/>
      <c r="Q16" s="97"/>
      <c r="R16" s="97"/>
      <c r="S16" s="97"/>
      <c r="T16" s="97"/>
      <c r="U16" s="97"/>
      <c r="V16" s="97"/>
      <c r="W16" s="97"/>
      <c r="X16" s="97"/>
      <c r="Y16" s="97"/>
    </row>
    <row r="17" ht="10.5" hidden="1" customHeight="1">
      <c r="A17" s="97"/>
      <c r="B17" s="97"/>
      <c r="C17" s="97"/>
      <c r="D17" s="99" t="s">
        <v>150</v>
      </c>
      <c r="E17" s="97"/>
      <c r="F17" s="97"/>
      <c r="G17" s="97"/>
      <c r="H17" s="97"/>
      <c r="I17" s="97"/>
      <c r="J17" s="97"/>
      <c r="K17" s="97"/>
      <c r="L17" s="97"/>
      <c r="M17" s="97"/>
      <c r="N17" s="97"/>
      <c r="O17" s="97"/>
      <c r="P17" s="97"/>
      <c r="Q17" s="97"/>
      <c r="R17" s="97"/>
      <c r="S17" s="97"/>
      <c r="T17" s="97"/>
      <c r="U17" s="97"/>
      <c r="V17" s="97"/>
      <c r="W17" s="97"/>
      <c r="X17" s="97"/>
      <c r="Y17" s="97"/>
    </row>
    <row r="18" ht="10.5" hidden="1" customHeight="1">
      <c r="A18" s="97"/>
      <c r="B18" s="97"/>
      <c r="C18" s="97"/>
      <c r="D18" s="98" t="s">
        <v>151</v>
      </c>
      <c r="E18" s="97"/>
      <c r="F18" s="97"/>
      <c r="G18" s="97"/>
      <c r="H18" s="97"/>
      <c r="I18" s="97"/>
      <c r="J18" s="97"/>
      <c r="K18" s="97"/>
      <c r="L18" s="97"/>
      <c r="M18" s="97"/>
      <c r="N18" s="97"/>
      <c r="O18" s="97"/>
      <c r="P18" s="97"/>
      <c r="Q18" s="97"/>
      <c r="R18" s="97"/>
      <c r="S18" s="97"/>
      <c r="T18" s="97"/>
      <c r="U18" s="97"/>
      <c r="V18" s="97"/>
      <c r="W18" s="97"/>
      <c r="X18" s="97"/>
      <c r="Y18" s="97"/>
    </row>
    <row r="19" ht="10.5" hidden="1" customHeight="1">
      <c r="A19" s="97"/>
      <c r="B19" s="97"/>
      <c r="C19" s="97"/>
      <c r="D19" s="99" t="s">
        <v>152</v>
      </c>
      <c r="E19" s="97"/>
      <c r="F19" s="97"/>
      <c r="G19" s="97"/>
      <c r="H19" s="97"/>
      <c r="I19" s="97"/>
      <c r="J19" s="97"/>
      <c r="K19" s="97"/>
      <c r="L19" s="97"/>
      <c r="M19" s="97"/>
      <c r="N19" s="97"/>
      <c r="O19" s="97"/>
      <c r="P19" s="97"/>
      <c r="Q19" s="97"/>
      <c r="R19" s="97"/>
      <c r="S19" s="97"/>
      <c r="T19" s="97"/>
      <c r="U19" s="97"/>
      <c r="V19" s="97"/>
      <c r="W19" s="97"/>
      <c r="X19" s="97"/>
      <c r="Y19" s="97"/>
    </row>
    <row r="20" ht="10.5" hidden="1" customHeight="1">
      <c r="A20" s="97"/>
      <c r="B20" s="97"/>
      <c r="C20" s="97"/>
      <c r="D20" s="99" t="s">
        <v>153</v>
      </c>
      <c r="E20" s="97"/>
      <c r="F20" s="97"/>
      <c r="G20" s="97"/>
      <c r="H20" s="97"/>
      <c r="I20" s="97"/>
      <c r="J20" s="97"/>
      <c r="K20" s="97"/>
      <c r="L20" s="97"/>
      <c r="M20" s="97"/>
      <c r="N20" s="97"/>
      <c r="O20" s="97"/>
      <c r="P20" s="97"/>
      <c r="Q20" s="97"/>
      <c r="R20" s="97"/>
      <c r="S20" s="97"/>
      <c r="T20" s="97"/>
      <c r="U20" s="97"/>
      <c r="V20" s="97"/>
      <c r="W20" s="97"/>
      <c r="X20" s="97"/>
      <c r="Y20" s="97"/>
    </row>
    <row r="21" ht="10.5" hidden="1" customHeight="1">
      <c r="A21" s="97"/>
      <c r="B21" s="97"/>
      <c r="C21" s="97"/>
      <c r="D21" s="99" t="s">
        <v>154</v>
      </c>
      <c r="E21" s="97"/>
      <c r="F21" s="97"/>
      <c r="G21" s="97"/>
      <c r="H21" s="97"/>
      <c r="I21" s="97"/>
      <c r="J21" s="97"/>
      <c r="K21" s="97"/>
      <c r="L21" s="97"/>
      <c r="M21" s="97"/>
      <c r="N21" s="97"/>
      <c r="O21" s="97"/>
      <c r="P21" s="97"/>
      <c r="Q21" s="97"/>
      <c r="R21" s="97"/>
      <c r="S21" s="97"/>
      <c r="T21" s="97"/>
      <c r="U21" s="97"/>
      <c r="V21" s="97"/>
      <c r="W21" s="97"/>
      <c r="X21" s="97"/>
      <c r="Y21" s="97"/>
    </row>
    <row r="22" ht="10.5" hidden="1" customHeight="1">
      <c r="A22" s="97"/>
      <c r="B22" s="97"/>
      <c r="C22" s="97"/>
      <c r="D22" s="98" t="s">
        <v>155</v>
      </c>
      <c r="E22" s="97"/>
      <c r="F22" s="97"/>
      <c r="G22" s="97"/>
      <c r="H22" s="97"/>
      <c r="I22" s="97"/>
      <c r="J22" s="97"/>
      <c r="K22" s="97"/>
      <c r="L22" s="97"/>
      <c r="M22" s="97"/>
      <c r="N22" s="97"/>
      <c r="O22" s="97"/>
      <c r="P22" s="97"/>
      <c r="Q22" s="97"/>
      <c r="R22" s="97"/>
      <c r="S22" s="97"/>
      <c r="T22" s="97"/>
      <c r="U22" s="97"/>
      <c r="V22" s="97"/>
      <c r="W22" s="97"/>
      <c r="X22" s="97"/>
      <c r="Y22" s="97"/>
    </row>
    <row r="23" ht="10.5" hidden="1" customHeight="1">
      <c r="A23" s="97"/>
      <c r="B23" s="97"/>
      <c r="C23" s="97"/>
      <c r="D23" s="99" t="s">
        <v>156</v>
      </c>
      <c r="E23" s="97"/>
      <c r="F23" s="97"/>
      <c r="G23" s="97"/>
      <c r="H23" s="97"/>
      <c r="I23" s="97"/>
      <c r="J23" s="97"/>
      <c r="K23" s="97"/>
      <c r="L23" s="97"/>
      <c r="M23" s="97"/>
      <c r="N23" s="97"/>
      <c r="O23" s="97"/>
      <c r="P23" s="97"/>
      <c r="Q23" s="97"/>
      <c r="R23" s="97"/>
      <c r="S23" s="97"/>
      <c r="T23" s="97"/>
      <c r="U23" s="97"/>
      <c r="V23" s="97"/>
      <c r="W23" s="97"/>
      <c r="X23" s="97"/>
      <c r="Y23" s="97"/>
    </row>
    <row r="24" ht="10.5" hidden="1" customHeight="1">
      <c r="A24" s="97"/>
      <c r="B24" s="97"/>
      <c r="C24" s="97"/>
      <c r="D24" s="99" t="s">
        <v>157</v>
      </c>
      <c r="E24" s="97"/>
      <c r="F24" s="97"/>
      <c r="G24" s="97"/>
      <c r="H24" s="97"/>
      <c r="I24" s="97"/>
      <c r="J24" s="97"/>
      <c r="K24" s="97"/>
      <c r="L24" s="97"/>
      <c r="M24" s="97"/>
      <c r="N24" s="97"/>
      <c r="O24" s="97"/>
      <c r="P24" s="97"/>
      <c r="Q24" s="97"/>
      <c r="R24" s="97"/>
      <c r="S24" s="97"/>
      <c r="T24" s="97"/>
      <c r="U24" s="97"/>
      <c r="V24" s="97"/>
      <c r="W24" s="97"/>
      <c r="X24" s="97"/>
      <c r="Y24" s="97"/>
    </row>
    <row r="25" ht="10.5" hidden="1" customHeight="1">
      <c r="A25" s="97"/>
      <c r="B25" s="97"/>
      <c r="C25" s="97"/>
      <c r="D25" s="99" t="s">
        <v>158</v>
      </c>
      <c r="E25" s="97"/>
      <c r="F25" s="97"/>
      <c r="G25" s="97"/>
      <c r="H25" s="97"/>
      <c r="I25" s="97"/>
      <c r="J25" s="97"/>
      <c r="K25" s="97"/>
      <c r="L25" s="97"/>
      <c r="M25" s="97"/>
      <c r="N25" s="97"/>
      <c r="O25" s="97"/>
      <c r="P25" s="97"/>
      <c r="Q25" s="97"/>
      <c r="R25" s="97"/>
      <c r="S25" s="97"/>
      <c r="T25" s="97"/>
      <c r="U25" s="97"/>
      <c r="V25" s="97"/>
      <c r="W25" s="97"/>
      <c r="X25" s="97"/>
      <c r="Y25" s="97"/>
    </row>
    <row r="26" ht="10.5" hidden="1" customHeight="1">
      <c r="A26" s="97"/>
      <c r="B26" s="97"/>
      <c r="C26" s="97"/>
      <c r="D26" s="99" t="s">
        <v>159</v>
      </c>
      <c r="E26" s="97"/>
      <c r="F26" s="97"/>
      <c r="G26" s="97"/>
      <c r="H26" s="97"/>
      <c r="I26" s="97"/>
      <c r="J26" s="97"/>
      <c r="K26" s="97"/>
      <c r="L26" s="97"/>
      <c r="M26" s="97"/>
      <c r="N26" s="97"/>
      <c r="O26" s="97"/>
      <c r="P26" s="97"/>
      <c r="Q26" s="97"/>
      <c r="R26" s="97"/>
      <c r="S26" s="97"/>
      <c r="T26" s="97"/>
      <c r="U26" s="97"/>
      <c r="V26" s="97"/>
      <c r="W26" s="97"/>
      <c r="X26" s="97"/>
      <c r="Y26" s="97"/>
    </row>
    <row r="27" ht="10.5" hidden="1" customHeight="1">
      <c r="A27" s="97"/>
      <c r="B27" s="97"/>
      <c r="C27" s="97"/>
      <c r="D27" s="98" t="s">
        <v>160</v>
      </c>
      <c r="E27" s="97"/>
      <c r="F27" s="97"/>
      <c r="G27" s="97"/>
      <c r="H27" s="97"/>
      <c r="I27" s="97"/>
      <c r="J27" s="97"/>
      <c r="K27" s="97"/>
      <c r="L27" s="97"/>
      <c r="M27" s="97"/>
      <c r="N27" s="97"/>
      <c r="O27" s="97"/>
      <c r="P27" s="97"/>
      <c r="Q27" s="97"/>
      <c r="R27" s="97"/>
      <c r="S27" s="97"/>
      <c r="T27" s="97"/>
      <c r="U27" s="97"/>
      <c r="V27" s="97"/>
      <c r="W27" s="97"/>
      <c r="X27" s="97"/>
      <c r="Y27" s="97"/>
    </row>
    <row r="28" ht="10.5" hidden="1" customHeight="1">
      <c r="A28" s="97"/>
      <c r="B28" s="97"/>
      <c r="C28" s="97"/>
      <c r="D28" s="99" t="s">
        <v>161</v>
      </c>
      <c r="E28" s="97"/>
      <c r="F28" s="97"/>
      <c r="G28" s="97"/>
      <c r="H28" s="97"/>
      <c r="I28" s="97"/>
      <c r="J28" s="97"/>
      <c r="K28" s="97"/>
      <c r="L28" s="97"/>
      <c r="M28" s="97"/>
      <c r="N28" s="97"/>
      <c r="O28" s="97"/>
      <c r="P28" s="97"/>
      <c r="Q28" s="97"/>
      <c r="R28" s="97"/>
      <c r="S28" s="97"/>
      <c r="T28" s="97"/>
      <c r="U28" s="97"/>
      <c r="V28" s="97"/>
      <c r="W28" s="97"/>
      <c r="X28" s="97"/>
      <c r="Y28" s="97"/>
    </row>
    <row r="29" ht="10.5" hidden="1" customHeight="1">
      <c r="A29" s="97"/>
      <c r="B29" s="97"/>
      <c r="C29" s="97"/>
      <c r="D29" s="99" t="s">
        <v>162</v>
      </c>
      <c r="E29" s="97"/>
      <c r="F29" s="97"/>
      <c r="G29" s="97"/>
      <c r="H29" s="97"/>
      <c r="I29" s="97"/>
      <c r="J29" s="97"/>
      <c r="K29" s="97"/>
      <c r="L29" s="97"/>
      <c r="M29" s="97"/>
      <c r="N29" s="97"/>
      <c r="O29" s="97"/>
      <c r="P29" s="97"/>
      <c r="Q29" s="97"/>
      <c r="R29" s="97"/>
      <c r="S29" s="97"/>
      <c r="T29" s="97"/>
      <c r="U29" s="97"/>
      <c r="V29" s="97"/>
      <c r="W29" s="97"/>
      <c r="X29" s="97"/>
      <c r="Y29" s="97"/>
    </row>
    <row r="30" ht="10.5" hidden="1" customHeight="1">
      <c r="A30" s="97"/>
      <c r="B30" s="97"/>
      <c r="C30" s="97"/>
      <c r="D30" s="99" t="s">
        <v>163</v>
      </c>
      <c r="E30" s="97"/>
      <c r="F30" s="97"/>
      <c r="G30" s="97"/>
      <c r="H30" s="97"/>
      <c r="I30" s="97"/>
      <c r="J30" s="97"/>
      <c r="K30" s="97"/>
      <c r="L30" s="97"/>
      <c r="M30" s="97"/>
      <c r="N30" s="97"/>
      <c r="O30" s="97"/>
      <c r="P30" s="97"/>
      <c r="Q30" s="97"/>
      <c r="R30" s="97"/>
      <c r="S30" s="97"/>
      <c r="T30" s="97"/>
      <c r="U30" s="97"/>
      <c r="V30" s="97"/>
      <c r="W30" s="97"/>
      <c r="X30" s="97"/>
      <c r="Y30" s="97"/>
    </row>
    <row r="31" ht="10.5" hidden="1" customHeight="1">
      <c r="A31" s="100"/>
      <c r="B31" s="100"/>
      <c r="C31" s="100"/>
      <c r="D31" s="101" t="s">
        <v>164</v>
      </c>
      <c r="E31" s="100"/>
      <c r="F31" s="100"/>
      <c r="G31" s="100"/>
      <c r="H31" s="100"/>
      <c r="I31" s="100"/>
      <c r="J31" s="100"/>
      <c r="K31" s="100"/>
      <c r="L31" s="100"/>
      <c r="M31" s="100"/>
      <c r="N31" s="100"/>
      <c r="O31" s="100"/>
      <c r="P31" s="100"/>
      <c r="Q31" s="100"/>
      <c r="R31" s="100"/>
      <c r="S31" s="100"/>
      <c r="T31" s="100"/>
      <c r="U31" s="100"/>
      <c r="V31" s="100"/>
      <c r="W31" s="100"/>
      <c r="X31" s="100"/>
      <c r="Y31" s="100"/>
    </row>
    <row r="32" ht="10.5" hidden="1" customHeight="1">
      <c r="A32" s="97"/>
      <c r="B32" s="97"/>
      <c r="C32" s="97"/>
      <c r="D32" s="102" t="s">
        <v>165</v>
      </c>
      <c r="E32" s="97"/>
      <c r="F32" s="97"/>
      <c r="G32" s="97"/>
      <c r="H32" s="97"/>
      <c r="I32" s="97"/>
      <c r="J32" s="97"/>
      <c r="K32" s="97"/>
      <c r="L32" s="97"/>
      <c r="M32" s="97"/>
      <c r="N32" s="97"/>
      <c r="O32" s="97"/>
      <c r="P32" s="97"/>
      <c r="Q32" s="97"/>
      <c r="R32" s="97"/>
      <c r="S32" s="97"/>
      <c r="T32" s="97"/>
      <c r="U32" s="97"/>
      <c r="V32" s="97"/>
      <c r="W32" s="97"/>
      <c r="X32" s="97"/>
      <c r="Y32" s="97"/>
    </row>
    <row r="33" ht="22.5" hidden="1" customHeight="1">
      <c r="A33" s="97"/>
      <c r="B33" s="97"/>
      <c r="C33" s="97"/>
      <c r="D33" s="103" t="s">
        <v>166</v>
      </c>
      <c r="E33" s="3"/>
      <c r="F33" s="97"/>
      <c r="G33" s="97"/>
      <c r="H33" s="97"/>
      <c r="I33" s="97"/>
      <c r="J33" s="97"/>
      <c r="K33" s="97"/>
      <c r="L33" s="97"/>
      <c r="M33" s="97"/>
      <c r="N33" s="97"/>
      <c r="O33" s="97"/>
      <c r="P33" s="97"/>
      <c r="Q33" s="97"/>
      <c r="R33" s="97"/>
      <c r="S33" s="97"/>
      <c r="T33" s="97"/>
      <c r="U33" s="97"/>
      <c r="V33" s="97"/>
      <c r="W33" s="97"/>
      <c r="X33" s="97"/>
      <c r="Y33" s="97"/>
    </row>
    <row r="34" ht="10.5" hidden="1" customHeight="1">
      <c r="A34" s="97"/>
      <c r="B34" s="97"/>
      <c r="C34" s="97"/>
      <c r="D34" s="99">
        <v>4290</v>
      </c>
      <c r="E34" s="99" t="s">
        <v>167</v>
      </c>
      <c r="F34" s="97"/>
      <c r="G34" s="97"/>
      <c r="H34" s="97"/>
      <c r="I34" s="97"/>
      <c r="J34" s="97"/>
      <c r="K34" s="97"/>
      <c r="L34" s="97"/>
      <c r="M34" s="97"/>
      <c r="N34" s="97"/>
      <c r="O34" s="97"/>
      <c r="P34" s="97"/>
      <c r="Q34" s="97"/>
      <c r="R34" s="97"/>
      <c r="S34" s="97"/>
      <c r="T34" s="97"/>
      <c r="U34" s="97"/>
      <c r="V34" s="97"/>
      <c r="W34" s="97"/>
      <c r="X34" s="97"/>
      <c r="Y34" s="97"/>
    </row>
    <row r="35" ht="10.5" hidden="1" customHeight="1">
      <c r="A35" s="97"/>
      <c r="B35" s="97"/>
      <c r="C35" s="97"/>
      <c r="D35" s="99">
        <v>5082</v>
      </c>
      <c r="E35" s="99" t="s">
        <v>168</v>
      </c>
      <c r="F35" s="97"/>
      <c r="G35" s="97"/>
      <c r="H35" s="97"/>
      <c r="I35" s="97"/>
      <c r="J35" s="97"/>
      <c r="K35" s="97"/>
      <c r="L35" s="97"/>
      <c r="M35" s="97"/>
      <c r="N35" s="97"/>
      <c r="O35" s="97"/>
      <c r="P35" s="97"/>
      <c r="Q35" s="97"/>
      <c r="R35" s="97"/>
      <c r="S35" s="97"/>
      <c r="T35" s="97"/>
      <c r="U35" s="97"/>
      <c r="V35" s="97"/>
      <c r="W35" s="97"/>
      <c r="X35" s="97"/>
      <c r="Y35" s="97"/>
    </row>
    <row r="36" ht="10.5" hidden="1" customHeight="1">
      <c r="A36" s="97"/>
      <c r="B36" s="97"/>
      <c r="C36" s="97"/>
      <c r="D36" s="99">
        <v>4356</v>
      </c>
      <c r="E36" s="99" t="s">
        <v>169</v>
      </c>
      <c r="F36" s="97"/>
      <c r="G36" s="97"/>
      <c r="H36" s="97"/>
      <c r="I36" s="97"/>
      <c r="J36" s="97"/>
      <c r="K36" s="97"/>
      <c r="L36" s="97"/>
      <c r="M36" s="97"/>
      <c r="N36" s="97"/>
      <c r="O36" s="97"/>
      <c r="P36" s="97"/>
      <c r="Q36" s="97"/>
      <c r="R36" s="97"/>
      <c r="S36" s="97"/>
      <c r="T36" s="97"/>
      <c r="U36" s="97"/>
      <c r="V36" s="97"/>
      <c r="W36" s="97"/>
      <c r="X36" s="97"/>
      <c r="Y36" s="97"/>
    </row>
    <row r="37" ht="10.5" hidden="1" customHeight="1">
      <c r="A37" s="97"/>
      <c r="B37" s="97"/>
      <c r="C37" s="97"/>
      <c r="D37" s="99">
        <v>5929</v>
      </c>
      <c r="E37" s="99" t="s">
        <v>170</v>
      </c>
      <c r="F37" s="97"/>
      <c r="G37" s="97"/>
      <c r="H37" s="97"/>
      <c r="I37" s="97"/>
      <c r="J37" s="97"/>
      <c r="K37" s="97"/>
      <c r="L37" s="97"/>
      <c r="M37" s="97"/>
      <c r="N37" s="97"/>
      <c r="O37" s="97"/>
      <c r="P37" s="97"/>
      <c r="Q37" s="97"/>
      <c r="R37" s="97"/>
      <c r="S37" s="97"/>
      <c r="T37" s="97"/>
      <c r="U37" s="97"/>
      <c r="V37" s="97"/>
      <c r="W37" s="97"/>
      <c r="X37" s="97"/>
      <c r="Y37" s="97"/>
    </row>
    <row r="38" ht="10.5" hidden="1" customHeight="1">
      <c r="A38" s="97"/>
      <c r="B38" s="97"/>
      <c r="C38" s="97"/>
      <c r="D38" s="99">
        <v>5005</v>
      </c>
      <c r="E38" s="99" t="s">
        <v>171</v>
      </c>
      <c r="F38" s="97"/>
      <c r="G38" s="97"/>
      <c r="H38" s="97"/>
      <c r="I38" s="97"/>
      <c r="J38" s="97"/>
      <c r="K38" s="97"/>
      <c r="L38" s="97"/>
      <c r="M38" s="97"/>
      <c r="N38" s="97"/>
      <c r="O38" s="97"/>
      <c r="P38" s="97"/>
      <c r="Q38" s="97"/>
      <c r="R38" s="97"/>
      <c r="S38" s="97"/>
      <c r="T38" s="97"/>
      <c r="U38" s="97"/>
      <c r="V38" s="97"/>
      <c r="W38" s="97"/>
      <c r="X38" s="97"/>
      <c r="Y38" s="97"/>
    </row>
    <row r="39" ht="10.5" hidden="1" customHeight="1">
      <c r="A39" s="97"/>
      <c r="B39" s="97"/>
      <c r="C39" s="97"/>
      <c r="D39" s="99">
        <v>4225</v>
      </c>
      <c r="E39" s="99" t="s">
        <v>172</v>
      </c>
      <c r="F39" s="97"/>
      <c r="G39" s="97"/>
      <c r="H39" s="97"/>
      <c r="I39" s="97"/>
      <c r="J39" s="97"/>
      <c r="K39" s="97"/>
      <c r="L39" s="97"/>
      <c r="M39" s="97"/>
      <c r="N39" s="97"/>
      <c r="O39" s="97"/>
      <c r="P39" s="97"/>
      <c r="Q39" s="97"/>
      <c r="R39" s="97"/>
      <c r="S39" s="97"/>
      <c r="T39" s="97"/>
      <c r="U39" s="97"/>
      <c r="V39" s="97"/>
      <c r="W39" s="97"/>
      <c r="X39" s="97"/>
      <c r="Y39" s="97"/>
    </row>
    <row r="40" ht="8.2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row>
    <row r="41" ht="12.75" customHeight="1">
      <c r="A41" s="104" t="s">
        <v>173</v>
      </c>
      <c r="B41" s="2"/>
      <c r="C41" s="2"/>
      <c r="D41" s="2"/>
      <c r="E41" s="2"/>
      <c r="F41" s="2"/>
      <c r="G41" s="2"/>
      <c r="H41" s="2"/>
      <c r="I41" s="2"/>
      <c r="J41" s="3"/>
      <c r="K41" s="96"/>
      <c r="L41" s="96"/>
      <c r="M41" s="96"/>
      <c r="N41" s="96"/>
      <c r="O41" s="96"/>
      <c r="P41" s="96"/>
      <c r="Q41" s="96"/>
      <c r="R41" s="96"/>
      <c r="S41" s="96"/>
      <c r="T41" s="96"/>
      <c r="U41" s="96"/>
      <c r="V41" s="96"/>
      <c r="W41" s="96"/>
      <c r="X41" s="96"/>
      <c r="Y41" s="96"/>
    </row>
    <row r="42" ht="12.75" customHeight="1">
      <c r="A42" s="105" t="s">
        <v>174</v>
      </c>
      <c r="B42" s="2"/>
      <c r="C42" s="2"/>
      <c r="D42" s="2"/>
      <c r="E42" s="2"/>
      <c r="F42" s="2"/>
      <c r="G42" s="2"/>
      <c r="H42" s="2"/>
      <c r="I42" s="2"/>
      <c r="J42" s="3"/>
      <c r="K42" s="96"/>
      <c r="L42" s="96"/>
      <c r="M42" s="96"/>
      <c r="N42" s="96"/>
      <c r="O42" s="96"/>
      <c r="P42" s="96"/>
      <c r="Q42" s="96"/>
      <c r="R42" s="96"/>
      <c r="S42" s="96"/>
      <c r="T42" s="96"/>
      <c r="U42" s="96"/>
      <c r="V42" s="96"/>
      <c r="W42" s="96"/>
      <c r="X42" s="96"/>
      <c r="Y42" s="96"/>
    </row>
    <row r="43" ht="15" customHeight="1">
      <c r="A43" s="106" t="s">
        <v>175</v>
      </c>
      <c r="B43" s="2"/>
      <c r="C43" s="2"/>
      <c r="D43" s="2"/>
      <c r="E43" s="2"/>
      <c r="F43" s="2"/>
      <c r="G43" s="2"/>
      <c r="H43" s="2"/>
      <c r="I43" s="2"/>
      <c r="J43" s="3"/>
      <c r="K43" s="96"/>
      <c r="L43" s="96"/>
      <c r="M43" s="96"/>
      <c r="N43" s="96"/>
      <c r="O43" s="96"/>
      <c r="P43" s="96"/>
      <c r="Q43" s="96"/>
      <c r="R43" s="96"/>
      <c r="S43" s="96"/>
      <c r="T43" s="96"/>
      <c r="U43" s="96"/>
      <c r="V43" s="96"/>
      <c r="W43" s="96"/>
      <c r="X43" s="96"/>
      <c r="Y43" s="96"/>
    </row>
    <row r="44" ht="15.75" customHeight="1">
      <c r="A44" s="107" t="s">
        <v>176</v>
      </c>
      <c r="B44" s="2"/>
      <c r="C44" s="2"/>
      <c r="D44" s="2"/>
      <c r="E44" s="2"/>
      <c r="F44" s="2"/>
      <c r="G44" s="2"/>
      <c r="H44" s="2"/>
      <c r="I44" s="2"/>
      <c r="J44" s="3"/>
      <c r="K44" s="96"/>
      <c r="L44" s="96"/>
      <c r="M44" s="96"/>
      <c r="N44" s="96"/>
      <c r="O44" s="96"/>
      <c r="P44" s="96"/>
      <c r="Q44" s="96"/>
      <c r="R44" s="96"/>
      <c r="S44" s="96"/>
      <c r="T44" s="96"/>
      <c r="U44" s="96"/>
      <c r="V44" s="96"/>
      <c r="W44" s="96"/>
      <c r="X44" s="96"/>
      <c r="Y44" s="96"/>
    </row>
    <row r="45" ht="9"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row>
    <row r="46" ht="10.5" customHeight="1">
      <c r="A46" s="108" t="s">
        <v>177</v>
      </c>
      <c r="B46" s="13"/>
      <c r="C46" s="13"/>
      <c r="D46" s="13"/>
      <c r="E46" s="13"/>
      <c r="F46" s="13"/>
      <c r="G46" s="13"/>
      <c r="H46" s="13"/>
      <c r="I46" s="13"/>
      <c r="J46" s="13"/>
      <c r="K46" s="97"/>
      <c r="L46" s="97"/>
      <c r="M46" s="97"/>
      <c r="N46" s="97"/>
      <c r="O46" s="97"/>
      <c r="P46" s="97"/>
      <c r="Q46" s="97"/>
      <c r="R46" s="97"/>
      <c r="S46" s="97"/>
      <c r="T46" s="97"/>
      <c r="U46" s="97"/>
      <c r="V46" s="97"/>
      <c r="W46" s="97"/>
      <c r="X46" s="97"/>
      <c r="Y46" s="97"/>
    </row>
    <row r="47" ht="12.75" customHeight="1">
      <c r="A47" s="109" t="s">
        <v>178</v>
      </c>
      <c r="B47" s="110"/>
      <c r="C47" s="111" t="s">
        <v>179</v>
      </c>
      <c r="D47" s="2"/>
      <c r="E47" s="2"/>
      <c r="F47" s="2"/>
      <c r="G47" s="2"/>
      <c r="H47" s="2"/>
      <c r="I47" s="2"/>
      <c r="J47" s="3"/>
      <c r="K47" s="112"/>
      <c r="L47" s="112"/>
      <c r="M47" s="112"/>
      <c r="N47" s="112"/>
      <c r="O47" s="112"/>
      <c r="P47" s="112"/>
      <c r="Q47" s="112"/>
      <c r="R47" s="112"/>
      <c r="S47" s="112"/>
      <c r="T47" s="112"/>
      <c r="U47" s="112"/>
      <c r="V47" s="112"/>
      <c r="W47" s="112"/>
      <c r="X47" s="112"/>
      <c r="Y47" s="112"/>
    </row>
    <row r="48" ht="11.25" customHeight="1">
      <c r="A48" s="113"/>
      <c r="B48" s="114" t="s">
        <v>180</v>
      </c>
      <c r="C48" s="114" t="s">
        <v>181</v>
      </c>
      <c r="D48" s="114" t="s">
        <v>182</v>
      </c>
      <c r="E48" s="114" t="s">
        <v>151</v>
      </c>
      <c r="F48" s="114" t="s">
        <v>183</v>
      </c>
      <c r="G48" s="114" t="s">
        <v>155</v>
      </c>
      <c r="H48" s="115" t="s">
        <v>184</v>
      </c>
      <c r="I48" s="2"/>
      <c r="J48" s="2"/>
      <c r="K48" s="116"/>
      <c r="L48" s="116"/>
      <c r="M48" s="116"/>
      <c r="N48" s="116"/>
      <c r="O48" s="116"/>
      <c r="P48" s="116"/>
      <c r="Q48" s="116"/>
      <c r="R48" s="116"/>
      <c r="S48" s="116"/>
      <c r="T48" s="116"/>
      <c r="U48" s="116"/>
      <c r="V48" s="116"/>
      <c r="W48" s="116"/>
      <c r="X48" s="116"/>
      <c r="Y48" s="116"/>
    </row>
    <row r="49" ht="11.25" customHeight="1">
      <c r="A49" s="117"/>
      <c r="B49" s="117"/>
      <c r="C49" s="117"/>
      <c r="D49" s="117"/>
      <c r="E49" s="117"/>
      <c r="F49" s="117"/>
      <c r="G49" s="117"/>
      <c r="H49" s="114" t="s">
        <v>185</v>
      </c>
      <c r="I49" s="114" t="s">
        <v>186</v>
      </c>
      <c r="J49" s="114" t="s">
        <v>187</v>
      </c>
      <c r="K49" s="116"/>
      <c r="L49" s="116"/>
      <c r="M49" s="116"/>
      <c r="N49" s="116"/>
      <c r="O49" s="116"/>
      <c r="P49" s="116"/>
      <c r="Q49" s="116"/>
      <c r="R49" s="116"/>
      <c r="S49" s="116"/>
      <c r="T49" s="116"/>
      <c r="U49" s="116"/>
      <c r="V49" s="116"/>
      <c r="W49" s="116"/>
      <c r="X49" s="116"/>
      <c r="Y49" s="116"/>
    </row>
    <row r="50" ht="32.25" customHeight="1">
      <c r="A50" s="118" t="s">
        <v>188</v>
      </c>
      <c r="B50" s="119" t="s">
        <v>189</v>
      </c>
      <c r="C50" s="120" t="s">
        <v>190</v>
      </c>
      <c r="D50" s="121" t="s">
        <v>150</v>
      </c>
      <c r="E50" s="121" t="s">
        <v>154</v>
      </c>
      <c r="F50" s="122" t="str">
        <f t="shared" ref="F50:F60" si="3">IF(OR((CODE($D50)*CODE($E50))=$D$36,(CODE($D50)*CODE($E50))=$D$35),$D$15,IF(OR((CODE($D50)*CODE($E50))=$D$34,(CODE($D50)*CODE($E50))=$D$37),$D$16,IF(OR((CODE($D50)*CODE($E50))=$D$38,(CODE($D50)*CODE($E50))=$D$39),$D$17,0)))</f>
        <v>Alta</v>
      </c>
      <c r="G50" s="121" t="s">
        <v>156</v>
      </c>
      <c r="H50" s="123" t="s">
        <v>191</v>
      </c>
      <c r="I50" s="123" t="s">
        <v>192</v>
      </c>
      <c r="J50" s="123" t="s">
        <v>193</v>
      </c>
      <c r="K50" s="116"/>
      <c r="L50" s="116"/>
      <c r="M50" s="116"/>
      <c r="N50" s="116"/>
      <c r="O50" s="116"/>
      <c r="P50" s="116"/>
      <c r="Q50" s="116"/>
      <c r="R50" s="116"/>
      <c r="S50" s="116"/>
      <c r="T50" s="116"/>
      <c r="U50" s="116"/>
      <c r="V50" s="116"/>
      <c r="W50" s="116"/>
      <c r="X50" s="116"/>
      <c r="Y50" s="116"/>
    </row>
    <row r="51" ht="15.75" customHeight="1">
      <c r="A51" s="118" t="s">
        <v>194</v>
      </c>
      <c r="B51" s="119" t="s">
        <v>195</v>
      </c>
      <c r="C51" s="120" t="s">
        <v>190</v>
      </c>
      <c r="D51" s="121" t="s">
        <v>196</v>
      </c>
      <c r="E51" s="121" t="s">
        <v>197</v>
      </c>
      <c r="F51" s="122" t="str">
        <f t="shared" si="3"/>
        <v>Média</v>
      </c>
      <c r="G51" s="121" t="s">
        <v>156</v>
      </c>
      <c r="H51" s="124" t="s">
        <v>198</v>
      </c>
      <c r="I51" s="123" t="s">
        <v>199</v>
      </c>
      <c r="J51" s="123" t="s">
        <v>200</v>
      </c>
      <c r="K51" s="116"/>
      <c r="L51" s="116"/>
      <c r="M51" s="116"/>
      <c r="N51" s="116"/>
      <c r="O51" s="116"/>
      <c r="P51" s="116"/>
      <c r="Q51" s="116"/>
      <c r="R51" s="116"/>
      <c r="S51" s="116"/>
      <c r="T51" s="116"/>
      <c r="U51" s="116"/>
      <c r="V51" s="116"/>
      <c r="W51" s="116"/>
      <c r="X51" s="116"/>
      <c r="Y51" s="116"/>
    </row>
    <row r="52" ht="11.25" customHeight="1">
      <c r="A52" s="118" t="s">
        <v>201</v>
      </c>
      <c r="B52" s="119" t="s">
        <v>202</v>
      </c>
      <c r="C52" s="125" t="s">
        <v>190</v>
      </c>
      <c r="D52" s="121" t="s">
        <v>196</v>
      </c>
      <c r="E52" s="121" t="s">
        <v>154</v>
      </c>
      <c r="F52" s="122" t="str">
        <f t="shared" si="3"/>
        <v>Alta</v>
      </c>
      <c r="G52" s="121" t="s">
        <v>203</v>
      </c>
      <c r="H52" s="124" t="s">
        <v>204</v>
      </c>
      <c r="I52" s="123" t="s">
        <v>205</v>
      </c>
      <c r="J52" s="123" t="s">
        <v>206</v>
      </c>
      <c r="K52" s="116"/>
      <c r="L52" s="116"/>
      <c r="M52" s="116"/>
      <c r="N52" s="116"/>
      <c r="O52" s="116"/>
      <c r="P52" s="116"/>
      <c r="Q52" s="116"/>
      <c r="R52" s="116"/>
      <c r="S52" s="116"/>
      <c r="T52" s="116"/>
      <c r="U52" s="116"/>
      <c r="V52" s="116"/>
      <c r="W52" s="116"/>
      <c r="X52" s="116"/>
      <c r="Y52" s="116"/>
    </row>
    <row r="53" ht="11.25" customHeight="1">
      <c r="A53" s="118" t="s">
        <v>207</v>
      </c>
      <c r="B53" s="119" t="s">
        <v>208</v>
      </c>
      <c r="C53" s="120" t="s">
        <v>190</v>
      </c>
      <c r="D53" s="121" t="s">
        <v>148</v>
      </c>
      <c r="E53" s="121" t="s">
        <v>197</v>
      </c>
      <c r="F53" s="122" t="str">
        <f t="shared" si="3"/>
        <v>Baixa</v>
      </c>
      <c r="G53" s="121" t="s">
        <v>156</v>
      </c>
      <c r="H53" s="124" t="s">
        <v>209</v>
      </c>
      <c r="I53" s="123" t="s">
        <v>210</v>
      </c>
      <c r="J53" s="123" t="s">
        <v>211</v>
      </c>
      <c r="K53" s="116"/>
      <c r="L53" s="116"/>
      <c r="M53" s="116"/>
      <c r="N53" s="116"/>
      <c r="O53" s="116"/>
      <c r="P53" s="116"/>
      <c r="Q53" s="116"/>
      <c r="R53" s="116"/>
      <c r="S53" s="116"/>
      <c r="T53" s="116"/>
      <c r="U53" s="116"/>
      <c r="V53" s="116"/>
      <c r="W53" s="116"/>
      <c r="X53" s="116"/>
      <c r="Y53" s="116"/>
    </row>
    <row r="54" ht="11.25" customHeight="1">
      <c r="A54" s="118" t="s">
        <v>212</v>
      </c>
      <c r="B54" s="119" t="s">
        <v>213</v>
      </c>
      <c r="C54" s="125" t="s">
        <v>190</v>
      </c>
      <c r="D54" s="121" t="s">
        <v>150</v>
      </c>
      <c r="E54" s="121" t="s">
        <v>154</v>
      </c>
      <c r="F54" s="122" t="str">
        <f t="shared" si="3"/>
        <v>Alta</v>
      </c>
      <c r="G54" s="121" t="s">
        <v>156</v>
      </c>
      <c r="H54" s="124" t="s">
        <v>214</v>
      </c>
      <c r="I54" s="123" t="s">
        <v>215</v>
      </c>
      <c r="J54" s="123" t="s">
        <v>216</v>
      </c>
      <c r="K54" s="116"/>
      <c r="L54" s="116"/>
      <c r="M54" s="116"/>
      <c r="N54" s="116"/>
      <c r="O54" s="116"/>
      <c r="P54" s="116"/>
      <c r="Q54" s="116"/>
      <c r="R54" s="116"/>
      <c r="S54" s="116"/>
      <c r="T54" s="116"/>
      <c r="U54" s="116"/>
      <c r="V54" s="116"/>
      <c r="W54" s="116"/>
      <c r="X54" s="116"/>
      <c r="Y54" s="116"/>
    </row>
    <row r="55" ht="11.25" customHeight="1">
      <c r="A55" s="118" t="s">
        <v>217</v>
      </c>
      <c r="B55" s="119" t="s">
        <v>218</v>
      </c>
      <c r="C55" s="125" t="s">
        <v>190</v>
      </c>
      <c r="D55" s="121" t="s">
        <v>150</v>
      </c>
      <c r="E55" s="121" t="s">
        <v>154</v>
      </c>
      <c r="F55" s="122" t="str">
        <f t="shared" si="3"/>
        <v>Alta</v>
      </c>
      <c r="G55" s="121" t="s">
        <v>156</v>
      </c>
      <c r="H55" s="124" t="s">
        <v>219</v>
      </c>
      <c r="I55" s="123" t="s">
        <v>220</v>
      </c>
      <c r="J55" s="123"/>
      <c r="K55" s="116"/>
      <c r="L55" s="116"/>
      <c r="M55" s="116"/>
      <c r="N55" s="116"/>
      <c r="O55" s="116"/>
      <c r="P55" s="116"/>
      <c r="Q55" s="116"/>
      <c r="R55" s="116"/>
      <c r="S55" s="116"/>
      <c r="T55" s="116"/>
      <c r="U55" s="116"/>
      <c r="V55" s="116"/>
      <c r="W55" s="116"/>
      <c r="X55" s="116"/>
      <c r="Y55" s="116"/>
    </row>
    <row r="56" ht="11.25" customHeight="1">
      <c r="A56" s="118" t="s">
        <v>221</v>
      </c>
      <c r="B56" s="119" t="s">
        <v>222</v>
      </c>
      <c r="C56" s="125" t="s">
        <v>190</v>
      </c>
      <c r="D56" s="121" t="s">
        <v>150</v>
      </c>
      <c r="E56" s="121" t="s">
        <v>154</v>
      </c>
      <c r="F56" s="122" t="str">
        <f t="shared" si="3"/>
        <v>Alta</v>
      </c>
      <c r="G56" s="121" t="s">
        <v>156</v>
      </c>
      <c r="H56" s="124" t="s">
        <v>223</v>
      </c>
      <c r="I56" s="123" t="s">
        <v>224</v>
      </c>
      <c r="J56" s="123"/>
      <c r="K56" s="116"/>
      <c r="L56" s="116"/>
      <c r="M56" s="116"/>
      <c r="N56" s="116"/>
      <c r="O56" s="116"/>
      <c r="P56" s="116"/>
      <c r="Q56" s="116"/>
      <c r="R56" s="116"/>
      <c r="S56" s="116"/>
      <c r="T56" s="116"/>
      <c r="U56" s="116"/>
      <c r="V56" s="116"/>
      <c r="W56" s="116"/>
      <c r="X56" s="116"/>
      <c r="Y56" s="116"/>
    </row>
    <row r="57" ht="11.25" customHeight="1">
      <c r="A57" s="118" t="s">
        <v>225</v>
      </c>
      <c r="B57" s="119" t="s">
        <v>226</v>
      </c>
      <c r="C57" s="125" t="s">
        <v>190</v>
      </c>
      <c r="D57" s="121" t="s">
        <v>196</v>
      </c>
      <c r="E57" s="121" t="s">
        <v>197</v>
      </c>
      <c r="F57" s="122" t="str">
        <f t="shared" si="3"/>
        <v>Média</v>
      </c>
      <c r="G57" s="121" t="s">
        <v>156</v>
      </c>
      <c r="H57" s="124" t="s">
        <v>227</v>
      </c>
      <c r="I57" s="123" t="s">
        <v>228</v>
      </c>
      <c r="J57" s="123"/>
      <c r="K57" s="116"/>
      <c r="L57" s="116"/>
      <c r="M57" s="116"/>
      <c r="N57" s="116"/>
      <c r="O57" s="116"/>
      <c r="P57" s="116"/>
      <c r="Q57" s="116"/>
      <c r="R57" s="116"/>
      <c r="S57" s="116"/>
      <c r="T57" s="116"/>
      <c r="U57" s="116"/>
      <c r="V57" s="116"/>
      <c r="W57" s="116"/>
      <c r="X57" s="116"/>
      <c r="Y57" s="116"/>
    </row>
    <row r="58" ht="11.25" customHeight="1">
      <c r="A58" s="118" t="s">
        <v>229</v>
      </c>
      <c r="B58" s="119" t="s">
        <v>230</v>
      </c>
      <c r="C58" s="125" t="s">
        <v>190</v>
      </c>
      <c r="D58" s="121" t="s">
        <v>196</v>
      </c>
      <c r="E58" s="121" t="s">
        <v>197</v>
      </c>
      <c r="F58" s="122" t="str">
        <f t="shared" si="3"/>
        <v>Média</v>
      </c>
      <c r="G58" s="121" t="s">
        <v>203</v>
      </c>
      <c r="H58" s="124" t="s">
        <v>231</v>
      </c>
      <c r="I58" s="123" t="s">
        <v>232</v>
      </c>
      <c r="J58" s="123"/>
      <c r="K58" s="116"/>
      <c r="L58" s="116"/>
      <c r="M58" s="116"/>
      <c r="N58" s="116"/>
      <c r="O58" s="116"/>
      <c r="P58" s="116"/>
      <c r="Q58" s="116"/>
      <c r="R58" s="116"/>
      <c r="S58" s="116"/>
      <c r="T58" s="116"/>
      <c r="U58" s="116"/>
      <c r="V58" s="116"/>
      <c r="W58" s="116"/>
      <c r="X58" s="116"/>
      <c r="Y58" s="116"/>
    </row>
    <row r="59" ht="11.25" customHeight="1">
      <c r="A59" s="118" t="s">
        <v>233</v>
      </c>
      <c r="B59" s="119" t="s">
        <v>234</v>
      </c>
      <c r="C59" s="125" t="s">
        <v>190</v>
      </c>
      <c r="D59" s="121" t="s">
        <v>150</v>
      </c>
      <c r="E59" s="121" t="s">
        <v>154</v>
      </c>
      <c r="F59" s="122" t="str">
        <f t="shared" si="3"/>
        <v>Alta</v>
      </c>
      <c r="G59" s="121" t="s">
        <v>156</v>
      </c>
      <c r="H59" s="126" t="s">
        <v>235</v>
      </c>
      <c r="I59" s="123" t="s">
        <v>236</v>
      </c>
      <c r="J59" s="123"/>
      <c r="K59" s="116"/>
      <c r="L59" s="116"/>
      <c r="M59" s="116"/>
      <c r="N59" s="116"/>
      <c r="O59" s="116"/>
      <c r="P59" s="116"/>
      <c r="Q59" s="116"/>
      <c r="R59" s="116"/>
      <c r="S59" s="116"/>
      <c r="T59" s="116"/>
      <c r="U59" s="116"/>
      <c r="V59" s="116"/>
      <c r="W59" s="116"/>
      <c r="X59" s="116"/>
      <c r="Y59" s="116"/>
    </row>
    <row r="60" ht="11.25" customHeight="1">
      <c r="A60" s="118"/>
      <c r="B60" s="119"/>
      <c r="C60" s="125"/>
      <c r="D60" s="121"/>
      <c r="E60" s="121"/>
      <c r="F60" s="122" t="e">
        <f t="shared" si="3"/>
        <v>#NUM!</v>
      </c>
      <c r="G60" s="121"/>
      <c r="H60" s="126"/>
      <c r="I60" s="123"/>
      <c r="J60" s="123"/>
      <c r="K60" s="116"/>
      <c r="L60" s="116"/>
      <c r="M60" s="116"/>
      <c r="N60" s="116"/>
      <c r="O60" s="116"/>
      <c r="P60" s="116"/>
      <c r="Q60" s="116"/>
      <c r="R60" s="116"/>
      <c r="S60" s="116"/>
      <c r="T60" s="116"/>
      <c r="U60" s="116"/>
      <c r="V60" s="116"/>
      <c r="W60" s="116"/>
      <c r="X60" s="116"/>
      <c r="Y60" s="116"/>
    </row>
    <row r="61" ht="10.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row>
    <row r="62" ht="10.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row>
    <row r="63" ht="10.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row>
    <row r="64" ht="10.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row>
    <row r="65" ht="10.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row>
    <row r="66" ht="10.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row>
    <row r="67" ht="10.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row>
    <row r="68" ht="10.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row>
    <row r="69" ht="10.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row>
    <row r="70" ht="10.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row>
    <row r="71" ht="10.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row>
    <row r="72" ht="10.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row>
    <row r="73" ht="10.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row>
    <row r="74" ht="10.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row>
    <row r="75" ht="10.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row>
    <row r="76" ht="10.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row>
    <row r="77" ht="10.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row>
    <row r="78" ht="10.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row>
    <row r="79" ht="10.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row>
    <row r="80" ht="10.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row>
    <row r="81" ht="10.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row>
    <row r="82" ht="10.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row>
    <row r="83" ht="10.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row>
    <row r="84" ht="10.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row>
    <row r="85" ht="10.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row>
    <row r="86" ht="10.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row>
    <row r="87" ht="10.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row>
    <row r="88" ht="10.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row>
    <row r="89" ht="10.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row>
    <row r="90" ht="10.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row>
    <row r="91" ht="10.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row>
    <row r="92" ht="10.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row>
    <row r="93" ht="10.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row>
    <row r="94" ht="10.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row>
    <row r="95" ht="10.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row>
    <row r="96" ht="10.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row>
    <row r="97" ht="10.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row>
    <row r="98" ht="10.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row>
    <row r="99" ht="10.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row>
    <row r="100" ht="10.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row>
    <row r="101" ht="10.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row>
    <row r="102" ht="10.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row>
    <row r="103" ht="10.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row>
    <row r="104" ht="10.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row>
    <row r="105" ht="10.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row>
    <row r="106" ht="10.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row>
    <row r="107" ht="10.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row>
    <row r="108" ht="10.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row>
    <row r="109" ht="10.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row>
    <row r="110" ht="10.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row>
    <row r="111" ht="10.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row>
    <row r="112" ht="10.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row>
    <row r="113" ht="10.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row>
    <row r="114" ht="10.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row>
    <row r="115" ht="10.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row>
    <row r="116" ht="10.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row>
    <row r="117" ht="10.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row>
    <row r="118" ht="10.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row>
    <row r="119" ht="10.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row>
    <row r="120" ht="10.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row>
    <row r="121" ht="10.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row>
    <row r="122" ht="10.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row>
    <row r="123" ht="10.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row>
    <row r="124" ht="10.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row>
    <row r="125" ht="10.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row>
    <row r="126" ht="10.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row>
    <row r="127" ht="10.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row>
    <row r="128" ht="10.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row>
    <row r="129" ht="10.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row>
    <row r="130" ht="10.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row>
    <row r="131" ht="10.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row>
    <row r="132" ht="10.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row>
    <row r="133" ht="10.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row>
    <row r="134" ht="10.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row>
    <row r="135" ht="10.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row>
    <row r="136" ht="10.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row>
    <row r="137" ht="10.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row>
    <row r="138" ht="10.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row>
    <row r="139" ht="10.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row>
    <row r="140" ht="10.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row>
    <row r="141" ht="10.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row>
    <row r="142" ht="10.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row>
    <row r="143" ht="10.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row>
    <row r="144" ht="10.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row>
    <row r="145" ht="10.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row>
    <row r="146" ht="10.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row>
    <row r="147" ht="10.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row>
    <row r="148" ht="10.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row>
    <row r="149" ht="10.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row>
    <row r="150" ht="10.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row>
    <row r="151" ht="10.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row>
    <row r="152" ht="10.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row>
    <row r="153" ht="10.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row>
    <row r="154" ht="10.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row>
    <row r="155" ht="10.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row>
    <row r="156" ht="10.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row>
    <row r="157" ht="10.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row>
    <row r="158" ht="10.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row>
    <row r="159" ht="10.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row>
    <row r="160" ht="10.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row>
    <row r="161" ht="10.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row>
    <row r="162" ht="10.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row>
    <row r="163" ht="10.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row>
    <row r="164" ht="10.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row>
    <row r="165" ht="10.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row>
    <row r="166" ht="10.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row>
    <row r="167" ht="10.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row>
    <row r="168" ht="10.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row>
    <row r="169" ht="10.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row>
    <row r="170" ht="10.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row>
    <row r="171" ht="10.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row>
    <row r="172" ht="10.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row>
    <row r="173" ht="10.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row>
    <row r="174" ht="10.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row>
    <row r="175" ht="10.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row>
    <row r="176" ht="10.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row>
    <row r="177" ht="10.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row>
    <row r="178" ht="10.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row>
    <row r="179" ht="10.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row>
    <row r="180" ht="10.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row>
    <row r="181" ht="10.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row>
    <row r="182" ht="10.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row>
    <row r="183" ht="10.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row>
    <row r="184" ht="10.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row>
    <row r="185" ht="10.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row>
    <row r="186" ht="10.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row>
    <row r="187" ht="10.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row>
    <row r="188" ht="10.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row>
    <row r="189" ht="10.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row>
    <row r="190" ht="10.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row>
    <row r="191" ht="10.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row>
    <row r="192" ht="10.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row>
    <row r="193" ht="10.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row>
    <row r="194" ht="10.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row>
    <row r="195" ht="10.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row>
    <row r="196" ht="10.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row>
    <row r="197" ht="10.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row>
    <row r="198" ht="10.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row>
    <row r="199" ht="10.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row>
    <row r="200" ht="10.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row>
    <row r="201" ht="10.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row>
    <row r="202" ht="10.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row>
    <row r="203" ht="10.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row>
    <row r="204" ht="10.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row>
    <row r="205" ht="10.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row>
    <row r="206" ht="10.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row>
    <row r="207" ht="10.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row>
    <row r="208" ht="10.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row>
    <row r="209" ht="10.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row>
    <row r="210" ht="10.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row>
    <row r="211" ht="10.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row>
    <row r="212" ht="10.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row>
    <row r="213" ht="10.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row>
    <row r="214" ht="10.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row>
    <row r="215" ht="10.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row>
    <row r="216" ht="10.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row>
    <row r="217" ht="10.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row>
    <row r="218" ht="10.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row>
    <row r="219" ht="10.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ht="10.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ht="10.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row>
    <row r="222" ht="10.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row>
    <row r="223" ht="10.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row>
    <row r="224" ht="10.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row>
    <row r="225" ht="10.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row>
    <row r="226" ht="10.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row>
    <row r="227" ht="10.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row>
    <row r="228" ht="10.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row>
    <row r="229" ht="10.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row>
    <row r="230" ht="10.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row>
    <row r="231" ht="10.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row>
    <row r="232" ht="10.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row>
    <row r="233" ht="10.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row>
    <row r="234" ht="10.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row>
    <row r="235" ht="10.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row>
    <row r="236" ht="10.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row>
    <row r="237" ht="10.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row>
    <row r="238" ht="10.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row>
    <row r="239" ht="10.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row>
    <row r="240" ht="10.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row>
    <row r="241" ht="10.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row>
    <row r="242" ht="10.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row>
    <row r="243" ht="10.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row>
    <row r="244" ht="10.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row>
    <row r="245" ht="10.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row>
    <row r="246" ht="10.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row>
    <row r="247" ht="10.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row>
    <row r="248" ht="10.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row>
    <row r="249" ht="10.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row>
    <row r="250" ht="10.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row>
    <row r="251" ht="10.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row>
    <row r="252" ht="10.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row>
    <row r="253" ht="10.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row>
    <row r="254" ht="10.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row>
    <row r="255" ht="10.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row>
    <row r="256" ht="10.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row>
    <row r="257" ht="10.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row>
    <row r="258" ht="10.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row>
    <row r="259" ht="10.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row>
    <row r="260" ht="10.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44:J44"/>
    <mergeCell ref="F48:F49"/>
    <mergeCell ref="A1:J1"/>
    <mergeCell ref="A46:J46"/>
    <mergeCell ref="A48:A49"/>
    <mergeCell ref="B48:B49"/>
    <mergeCell ref="E48:E49"/>
    <mergeCell ref="D48:D49"/>
    <mergeCell ref="D33:E33"/>
    <mergeCell ref="G48:G49"/>
    <mergeCell ref="C47:J47"/>
    <mergeCell ref="A42:J42"/>
    <mergeCell ref="A43:J43"/>
    <mergeCell ref="H48:J48"/>
    <mergeCell ref="C48:C49"/>
    <mergeCell ref="A41:J41"/>
  </mergeCells>
  <printOptions headings="0" gridLines="0"/>
  <pageMargins left="0.51181102362204689" right="0.51181102362204689" top="1.181102362204725" bottom="1.181102362204725" header="0" footer="0"/>
  <pageSetup paperSize="9" scale="100" fitToWidth="1" fitToHeight="1" pageOrder="downThenOver" orientation="landscape" usePrinterDefaults="1" blackAndWhite="0" draft="0" cellComments="none" useFirstPageNumber="0" errors="displayed" horizontalDpi="600" verticalDpi="600" copies="1"/>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2.630000000000001" defaultRowHeight="15" customHeight="1"/>
  <cols>
    <col customWidth="1" min="1" max="1" width="14.130000000000001"/>
    <col customWidth="1" min="2" max="2" width="11.75"/>
    <col customWidth="1" min="3" max="3" width="0.88"/>
    <col customWidth="1" min="4" max="4" width="28.129999999999999"/>
    <col customWidth="1" min="5" max="5" width="11.75"/>
    <col customWidth="1" min="6" max="6" width="1.1299999999999999"/>
    <col customWidth="1" min="7" max="7" width="12.380000000000001"/>
    <col customWidth="1" min="8" max="8" width="7"/>
    <col customWidth="1" min="9" max="9" width="5.5"/>
    <col customWidth="1" min="10" max="10" width="8.5"/>
    <col customWidth="1" min="11" max="11" width="10.5"/>
    <col customWidth="1" min="12" max="12" width="1.3799999999999999"/>
    <col customWidth="1" min="13" max="13" width="37.380000000000003"/>
    <col customWidth="1" min="14" max="14" width="10"/>
    <col customWidth="1" min="15" max="23" width="8.1300000000000008"/>
    <col customWidth="1" min="24" max="26" width="8.6300000000000008"/>
  </cols>
  <sheetData>
    <row r="1" ht="21" customHeight="1">
      <c r="A1" s="127" t="s">
        <v>237</v>
      </c>
      <c r="B1" s="2"/>
      <c r="C1" s="2"/>
      <c r="D1" s="2"/>
      <c r="E1" s="2"/>
      <c r="F1" s="2"/>
      <c r="G1" s="2"/>
      <c r="H1" s="2"/>
      <c r="I1" s="2"/>
      <c r="J1" s="2"/>
      <c r="K1" s="2"/>
      <c r="L1" s="2"/>
      <c r="M1" s="2"/>
      <c r="N1" s="3"/>
      <c r="O1" s="96"/>
      <c r="P1" s="96"/>
      <c r="Q1" s="96"/>
      <c r="R1" s="96"/>
      <c r="S1" s="96"/>
      <c r="T1" s="96"/>
      <c r="U1" s="96"/>
      <c r="V1" s="96"/>
      <c r="W1" s="96"/>
      <c r="X1" s="96"/>
      <c r="Y1" s="96"/>
      <c r="Z1" s="96"/>
    </row>
    <row r="2" ht="12.75" customHeight="1">
      <c r="A2" s="128" t="s">
        <v>173</v>
      </c>
      <c r="B2" s="2"/>
      <c r="C2" s="2"/>
      <c r="D2" s="2"/>
      <c r="E2" s="2"/>
      <c r="F2" s="2"/>
      <c r="G2" s="2"/>
      <c r="H2" s="2"/>
      <c r="I2" s="2"/>
      <c r="J2" s="2"/>
      <c r="K2" s="2"/>
      <c r="L2" s="2"/>
      <c r="M2" s="2"/>
      <c r="N2" s="3"/>
      <c r="O2" s="129"/>
      <c r="P2" s="129"/>
      <c r="Q2" s="129"/>
      <c r="R2" s="129"/>
      <c r="S2" s="129"/>
      <c r="T2" s="129"/>
      <c r="U2" s="129"/>
      <c r="V2" s="129"/>
      <c r="W2" s="129"/>
      <c r="X2" s="129"/>
      <c r="Y2" s="129"/>
      <c r="Z2" s="129"/>
    </row>
    <row r="3" ht="15" customHeight="1">
      <c r="A3" s="130" t="s">
        <v>238</v>
      </c>
      <c r="B3" s="2"/>
      <c r="C3" s="2"/>
      <c r="D3" s="2"/>
      <c r="E3" s="2"/>
      <c r="F3" s="2"/>
      <c r="G3" s="2"/>
      <c r="H3" s="2"/>
      <c r="I3" s="2"/>
      <c r="J3" s="2"/>
      <c r="K3" s="2"/>
      <c r="L3" s="2"/>
      <c r="M3" s="2"/>
      <c r="N3" s="3"/>
      <c r="O3" s="129"/>
      <c r="P3" s="129"/>
      <c r="Q3" s="129"/>
      <c r="R3" s="129"/>
      <c r="S3" s="129"/>
      <c r="T3" s="129"/>
      <c r="U3" s="129"/>
      <c r="V3" s="129"/>
      <c r="W3" s="129"/>
      <c r="X3" s="129"/>
      <c r="Y3" s="129"/>
      <c r="Z3" s="129"/>
    </row>
    <row r="4" ht="15" customHeight="1">
      <c r="A4" s="131" t="s">
        <v>239</v>
      </c>
      <c r="B4" s="2"/>
      <c r="C4" s="2"/>
      <c r="D4" s="2"/>
      <c r="E4" s="2"/>
      <c r="F4" s="2"/>
      <c r="G4" s="2"/>
      <c r="H4" s="2"/>
      <c r="I4" s="2"/>
      <c r="J4" s="2"/>
      <c r="K4" s="2"/>
      <c r="L4" s="2"/>
      <c r="M4" s="2"/>
      <c r="N4" s="3"/>
      <c r="O4" s="129"/>
      <c r="P4" s="129"/>
      <c r="Q4" s="129"/>
      <c r="R4" s="129"/>
      <c r="S4" s="129"/>
      <c r="T4" s="129"/>
      <c r="U4" s="129"/>
      <c r="V4" s="129"/>
      <c r="W4" s="129"/>
      <c r="X4" s="129"/>
      <c r="Y4" s="129"/>
      <c r="Z4" s="129"/>
    </row>
    <row r="5" ht="15.75" customHeight="1">
      <c r="A5" s="132" t="s">
        <v>176</v>
      </c>
      <c r="B5" s="2"/>
      <c r="C5" s="2"/>
      <c r="D5" s="2"/>
      <c r="E5" s="2"/>
      <c r="F5" s="2"/>
      <c r="G5" s="2"/>
      <c r="H5" s="2"/>
      <c r="I5" s="2"/>
      <c r="J5" s="2"/>
      <c r="K5" s="2"/>
      <c r="L5" s="2"/>
      <c r="M5" s="2"/>
      <c r="N5" s="3"/>
      <c r="O5" s="129"/>
      <c r="P5" s="129"/>
      <c r="Q5" s="129"/>
      <c r="R5" s="129"/>
      <c r="S5" s="129"/>
      <c r="T5" s="129"/>
      <c r="U5" s="129"/>
      <c r="V5" s="129"/>
      <c r="W5" s="129"/>
      <c r="X5" s="129"/>
      <c r="Y5" s="129"/>
      <c r="Z5" s="129"/>
    </row>
    <row r="6" ht="20.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12" customHeight="1">
      <c r="A7" s="133" t="s">
        <v>240</v>
      </c>
      <c r="B7" s="3"/>
      <c r="C7" s="11"/>
      <c r="D7" s="133" t="s">
        <v>241</v>
      </c>
      <c r="E7" s="3"/>
      <c r="F7" s="11"/>
      <c r="G7" s="133" t="s">
        <v>242</v>
      </c>
      <c r="H7" s="2"/>
      <c r="I7" s="2"/>
      <c r="J7" s="2"/>
      <c r="K7" s="3"/>
      <c r="L7" s="11"/>
      <c r="M7" s="133" t="s">
        <v>243</v>
      </c>
      <c r="N7" s="3"/>
      <c r="O7" s="11"/>
      <c r="P7" s="11"/>
      <c r="Q7" s="11"/>
      <c r="R7" s="11"/>
      <c r="S7" s="11"/>
      <c r="T7" s="11"/>
      <c r="U7" s="11"/>
      <c r="V7" s="11"/>
      <c r="W7" s="11"/>
      <c r="X7" s="11"/>
      <c r="Y7" s="11"/>
      <c r="Z7" s="11"/>
    </row>
    <row r="8" ht="17.25" customHeight="1">
      <c r="A8" s="134" t="s">
        <v>244</v>
      </c>
      <c r="B8" s="135" t="s">
        <v>245</v>
      </c>
      <c r="C8" s="11"/>
      <c r="D8" s="134" t="s">
        <v>246</v>
      </c>
      <c r="E8" s="135" t="s">
        <v>245</v>
      </c>
      <c r="F8" s="11"/>
      <c r="G8" s="134" t="s">
        <v>247</v>
      </c>
      <c r="H8" s="134" t="s">
        <v>248</v>
      </c>
      <c r="I8" s="134" t="s">
        <v>149</v>
      </c>
      <c r="J8" s="135" t="s">
        <v>249</v>
      </c>
      <c r="K8" s="135" t="s">
        <v>250</v>
      </c>
      <c r="L8" s="11"/>
      <c r="M8" s="135" t="s">
        <v>251</v>
      </c>
      <c r="N8" s="135" t="s">
        <v>252</v>
      </c>
      <c r="O8" s="11"/>
      <c r="P8" s="11"/>
      <c r="Q8" s="11"/>
      <c r="R8" s="11"/>
      <c r="S8" s="11"/>
      <c r="T8" s="11"/>
      <c r="U8" s="11"/>
      <c r="V8" s="11"/>
      <c r="W8" s="11"/>
      <c r="X8" s="11"/>
      <c r="Y8" s="11"/>
      <c r="Z8" s="11"/>
    </row>
    <row r="9" ht="13.5" customHeight="1">
      <c r="A9" s="130" t="s">
        <v>253</v>
      </c>
      <c r="B9" s="131" t="s">
        <v>248</v>
      </c>
      <c r="C9" s="11"/>
      <c r="D9" s="130" t="s">
        <v>35</v>
      </c>
      <c r="E9" s="131" t="s">
        <v>196</v>
      </c>
      <c r="F9" s="11"/>
      <c r="G9" s="134" t="s">
        <v>254</v>
      </c>
      <c r="H9" s="130">
        <v>1</v>
      </c>
      <c r="I9" s="130">
        <v>0</v>
      </c>
      <c r="J9" s="130">
        <v>0</v>
      </c>
      <c r="K9" s="135">
        <f>(H9*4)+(I9*6)+(J9*8)</f>
        <v>4</v>
      </c>
      <c r="L9" s="11"/>
      <c r="M9" s="136" t="s">
        <v>255</v>
      </c>
      <c r="N9" s="137"/>
      <c r="O9" s="11"/>
      <c r="P9" s="11"/>
      <c r="Q9" s="11"/>
      <c r="R9" s="11"/>
      <c r="S9" s="11"/>
      <c r="T9" s="11"/>
      <c r="U9" s="11"/>
      <c r="V9" s="11"/>
      <c r="W9" s="11"/>
      <c r="X9" s="11"/>
      <c r="Y9" s="11"/>
      <c r="Z9" s="11"/>
    </row>
    <row r="10" ht="13.5" customHeight="1">
      <c r="A10" s="130" t="s">
        <v>256</v>
      </c>
      <c r="B10" s="131" t="s">
        <v>248</v>
      </c>
      <c r="C10" s="11"/>
      <c r="D10" s="130" t="s">
        <v>45</v>
      </c>
      <c r="E10" s="131" t="s">
        <v>248</v>
      </c>
      <c r="F10" s="11"/>
      <c r="G10" s="134" t="s">
        <v>254</v>
      </c>
      <c r="H10" s="130">
        <v>1</v>
      </c>
      <c r="I10" s="130"/>
      <c r="J10" s="130"/>
      <c r="K10" s="135">
        <f>(H10*4)+(I10*6)+(J10*8)</f>
        <v>4</v>
      </c>
      <c r="L10" s="11"/>
      <c r="M10" s="136" t="s">
        <v>257</v>
      </c>
      <c r="N10" s="137"/>
      <c r="O10" s="11"/>
      <c r="P10" s="11"/>
      <c r="Q10" s="11"/>
      <c r="R10" s="11"/>
      <c r="S10" s="11"/>
      <c r="T10" s="11"/>
      <c r="U10" s="11"/>
      <c r="V10" s="11"/>
      <c r="W10" s="11"/>
      <c r="X10" s="11"/>
      <c r="Y10" s="11"/>
      <c r="Z10" s="11"/>
    </row>
    <row r="11" ht="12" customHeight="1">
      <c r="A11" s="130"/>
      <c r="B11" s="131"/>
      <c r="C11" s="11"/>
      <c r="D11" s="130"/>
      <c r="E11" s="131"/>
      <c r="F11" s="11"/>
      <c r="G11" s="133" t="s">
        <v>258</v>
      </c>
      <c r="H11" s="2"/>
      <c r="I11" s="2"/>
      <c r="J11" s="2"/>
      <c r="K11" s="3"/>
      <c r="L11" s="11"/>
      <c r="M11" s="136" t="s">
        <v>259</v>
      </c>
      <c r="N11" s="137"/>
      <c r="O11" s="11"/>
      <c r="P11" s="11"/>
      <c r="Q11" s="11"/>
      <c r="R11" s="11"/>
      <c r="S11" s="11"/>
      <c r="T11" s="11"/>
      <c r="U11" s="11"/>
      <c r="V11" s="11"/>
      <c r="W11" s="11"/>
      <c r="X11" s="11"/>
      <c r="Y11" s="11"/>
      <c r="Z11" s="11"/>
    </row>
    <row r="12" ht="13.5" customHeight="1">
      <c r="A12" s="130" t="s">
        <v>260</v>
      </c>
      <c r="B12" s="131" t="s">
        <v>248</v>
      </c>
      <c r="C12" s="11"/>
      <c r="D12" s="130" t="s">
        <v>261</v>
      </c>
      <c r="E12" s="131" t="s">
        <v>196</v>
      </c>
      <c r="F12" s="11"/>
      <c r="G12" s="134" t="s">
        <v>254</v>
      </c>
      <c r="H12" s="134">
        <v>1</v>
      </c>
      <c r="I12" s="134" t="s">
        <v>149</v>
      </c>
      <c r="J12" s="135" t="s">
        <v>249</v>
      </c>
      <c r="K12" s="135" t="e">
        <f>(H12*4)+(I12*6)+(J12*8)</f>
        <v>#VALUE!</v>
      </c>
      <c r="L12" s="11"/>
      <c r="M12" s="136" t="s">
        <v>262</v>
      </c>
      <c r="N12" s="137"/>
      <c r="O12" s="11"/>
      <c r="P12" s="11"/>
      <c r="Q12" s="11"/>
      <c r="R12" s="11"/>
      <c r="S12" s="11"/>
      <c r="T12" s="11"/>
      <c r="U12" s="11"/>
      <c r="V12" s="11"/>
      <c r="W12" s="11"/>
      <c r="X12" s="11"/>
      <c r="Y12" s="11"/>
      <c r="Z12" s="11"/>
    </row>
    <row r="13" ht="13.5" customHeight="1">
      <c r="A13" s="130" t="s">
        <v>263</v>
      </c>
      <c r="B13" s="131" t="s">
        <v>248</v>
      </c>
      <c r="C13" s="11"/>
      <c r="D13" s="130" t="s">
        <v>264</v>
      </c>
      <c r="E13" s="131" t="s">
        <v>196</v>
      </c>
      <c r="F13" s="11"/>
      <c r="G13" s="134" t="s">
        <v>254</v>
      </c>
      <c r="H13" s="130">
        <v>1</v>
      </c>
      <c r="I13" s="130"/>
      <c r="J13" s="130"/>
      <c r="K13" s="135">
        <f t="shared" ref="K13:K15" si="4">(H13*4)+(I13*6)+(J13*8)</f>
        <v>4</v>
      </c>
      <c r="L13" s="11"/>
      <c r="M13" s="136" t="s">
        <v>265</v>
      </c>
      <c r="N13" s="137"/>
      <c r="O13" s="11"/>
      <c r="P13" s="11"/>
      <c r="Q13" s="11"/>
      <c r="R13" s="11"/>
      <c r="S13" s="11"/>
      <c r="T13" s="11"/>
      <c r="U13" s="11"/>
      <c r="V13" s="11"/>
      <c r="W13" s="11" t="s">
        <v>266</v>
      </c>
      <c r="X13" s="11"/>
      <c r="Y13" s="11"/>
      <c r="Z13" s="11"/>
    </row>
    <row r="14" ht="13.5" customHeight="1">
      <c r="A14" s="130" t="s">
        <v>267</v>
      </c>
      <c r="B14" s="131" t="s">
        <v>248</v>
      </c>
      <c r="C14" s="11"/>
      <c r="D14" s="130" t="s">
        <v>268</v>
      </c>
      <c r="E14" s="131" t="s">
        <v>196</v>
      </c>
      <c r="F14" s="11"/>
      <c r="G14" s="134" t="s">
        <v>254</v>
      </c>
      <c r="H14" s="130">
        <v>1</v>
      </c>
      <c r="I14" s="130"/>
      <c r="J14" s="130"/>
      <c r="K14" s="135">
        <f t="shared" si="4"/>
        <v>4</v>
      </c>
      <c r="L14" s="11"/>
      <c r="M14" s="136" t="s">
        <v>269</v>
      </c>
      <c r="N14" s="137"/>
      <c r="O14" s="11"/>
      <c r="P14" s="11"/>
      <c r="Q14" s="11"/>
      <c r="R14" s="11"/>
      <c r="S14" s="11"/>
      <c r="T14" s="11"/>
      <c r="U14" s="11"/>
      <c r="V14" s="11"/>
      <c r="W14" s="11"/>
      <c r="X14" s="11"/>
      <c r="Y14" s="11"/>
      <c r="Z14" s="11"/>
    </row>
    <row r="15" ht="13.5" customHeight="1">
      <c r="A15" s="130" t="s">
        <v>270</v>
      </c>
      <c r="B15" s="131" t="s">
        <v>196</v>
      </c>
      <c r="C15" s="11"/>
      <c r="D15" s="130" t="s">
        <v>47</v>
      </c>
      <c r="E15" s="131" t="s">
        <v>248</v>
      </c>
      <c r="F15" s="11"/>
      <c r="G15" s="134" t="s">
        <v>254</v>
      </c>
      <c r="H15" s="130">
        <v>1</v>
      </c>
      <c r="I15" s="130"/>
      <c r="J15" s="130"/>
      <c r="K15" s="135">
        <f t="shared" si="4"/>
        <v>4</v>
      </c>
      <c r="L15" s="11"/>
      <c r="M15" s="136" t="s">
        <v>271</v>
      </c>
      <c r="N15" s="137"/>
      <c r="O15" s="11"/>
      <c r="P15" s="11"/>
      <c r="Q15" s="11"/>
      <c r="R15" s="11"/>
      <c r="S15" s="11"/>
      <c r="T15" s="11"/>
      <c r="U15" s="11"/>
      <c r="V15" s="11"/>
      <c r="W15" s="11"/>
      <c r="X15" s="11"/>
      <c r="Y15" s="11"/>
      <c r="Z15" s="11"/>
    </row>
    <row r="16" ht="12" customHeight="1">
      <c r="A16" s="130"/>
      <c r="B16" s="131"/>
      <c r="C16" s="11"/>
      <c r="D16" s="130"/>
      <c r="E16" s="131"/>
      <c r="F16" s="11"/>
      <c r="G16" s="138" t="s">
        <v>272</v>
      </c>
      <c r="H16" s="2"/>
      <c r="I16" s="2"/>
      <c r="J16" s="3"/>
      <c r="K16" s="139">
        <f ca="1">K24</f>
        <v>0</v>
      </c>
      <c r="L16" s="11"/>
      <c r="M16" s="136" t="s">
        <v>273</v>
      </c>
      <c r="N16" s="137"/>
      <c r="O16" s="11"/>
      <c r="P16" s="11"/>
      <c r="Q16" s="11"/>
      <c r="R16" s="11"/>
      <c r="S16" s="11"/>
      <c r="T16" s="11"/>
      <c r="U16" s="11"/>
      <c r="V16" s="11"/>
      <c r="W16" s="11"/>
      <c r="X16" s="11"/>
      <c r="Y16" s="11"/>
      <c r="Z16" s="11"/>
    </row>
    <row r="17" ht="13.5" customHeight="1">
      <c r="A17" s="130" t="s">
        <v>274</v>
      </c>
      <c r="B17" s="131" t="s">
        <v>248</v>
      </c>
      <c r="C17" s="11"/>
      <c r="D17" s="130" t="s">
        <v>275</v>
      </c>
      <c r="E17" s="131" t="s">
        <v>248</v>
      </c>
      <c r="F17" s="11"/>
      <c r="G17" s="11" t="s">
        <v>254</v>
      </c>
      <c r="H17" s="11">
        <v>1</v>
      </c>
      <c r="I17" s="11"/>
      <c r="J17" s="11"/>
      <c r="K17" s="11">
        <f>(H17*4)+(I17*6)+(J17*8)</f>
        <v>4</v>
      </c>
      <c r="L17" s="11"/>
      <c r="M17" s="136" t="s">
        <v>276</v>
      </c>
      <c r="N17" s="137"/>
      <c r="O17" s="11"/>
      <c r="P17" s="11"/>
      <c r="Q17" s="11"/>
      <c r="R17" s="11"/>
      <c r="S17" s="11"/>
      <c r="T17" s="11"/>
      <c r="U17" s="11"/>
      <c r="V17" s="11"/>
      <c r="W17" s="11"/>
      <c r="X17" s="11"/>
      <c r="Y17" s="11"/>
      <c r="Z17" s="11"/>
    </row>
    <row r="18" ht="13.5" customHeight="1">
      <c r="A18" s="130" t="s">
        <v>277</v>
      </c>
      <c r="B18" s="131" t="s">
        <v>248</v>
      </c>
      <c r="C18" s="11"/>
      <c r="D18" s="130"/>
      <c r="E18" s="131"/>
      <c r="F18" s="11"/>
      <c r="G18" s="11" t="s">
        <v>278</v>
      </c>
      <c r="H18" s="11">
        <v>1</v>
      </c>
      <c r="I18" s="11"/>
      <c r="J18" s="11"/>
      <c r="K18" s="11">
        <f>(H18*3)+(I18*4)+(J18*6)</f>
        <v>3</v>
      </c>
      <c r="L18" s="11"/>
      <c r="M18" s="136" t="s">
        <v>279</v>
      </c>
      <c r="N18" s="137"/>
      <c r="O18" s="11"/>
      <c r="P18" s="11"/>
      <c r="Q18" s="11"/>
      <c r="R18" s="11"/>
      <c r="S18" s="11"/>
      <c r="T18" s="11"/>
      <c r="U18" s="11"/>
      <c r="V18" s="11"/>
      <c r="W18" s="11"/>
      <c r="X18" s="11"/>
      <c r="Y18" s="11"/>
      <c r="Z18" s="11"/>
    </row>
    <row r="19" ht="13.5" customHeight="1">
      <c r="A19" s="130"/>
      <c r="B19" s="131"/>
      <c r="C19" s="11"/>
      <c r="D19" s="130"/>
      <c r="E19" s="131"/>
      <c r="F19" s="11"/>
      <c r="G19" s="11"/>
      <c r="H19" s="11"/>
      <c r="I19" s="11"/>
      <c r="J19" s="11"/>
      <c r="K19" s="11"/>
      <c r="L19" s="11"/>
      <c r="M19" s="136" t="s">
        <v>280</v>
      </c>
      <c r="N19" s="137"/>
      <c r="O19" s="11"/>
      <c r="P19" s="11"/>
      <c r="Q19" s="11"/>
      <c r="R19" s="11"/>
      <c r="S19" s="11"/>
      <c r="T19" s="11"/>
      <c r="U19" s="11"/>
      <c r="V19" s="11"/>
      <c r="W19" s="11"/>
      <c r="X19" s="11"/>
      <c r="Y19" s="11"/>
      <c r="Z19" s="11"/>
    </row>
    <row r="20" ht="13.5" customHeight="1">
      <c r="A20" s="130"/>
      <c r="B20" s="131"/>
      <c r="C20" s="11"/>
      <c r="D20" s="130"/>
      <c r="E20" s="131"/>
      <c r="F20" s="11"/>
      <c r="G20" s="11"/>
      <c r="H20" s="11"/>
      <c r="I20" s="11"/>
      <c r="J20" s="11"/>
      <c r="K20" s="11"/>
      <c r="L20" s="11"/>
      <c r="M20" s="136" t="s">
        <v>281</v>
      </c>
      <c r="N20" s="137"/>
      <c r="O20" s="11"/>
      <c r="P20" s="11"/>
      <c r="Q20" s="11"/>
      <c r="R20" s="11"/>
      <c r="S20" s="11"/>
      <c r="T20" s="11"/>
      <c r="U20" s="11"/>
      <c r="V20" s="11"/>
      <c r="W20" s="11"/>
      <c r="X20" s="11"/>
      <c r="Y20" s="11"/>
      <c r="Z20" s="11"/>
    </row>
    <row r="21" ht="13.5" customHeight="1">
      <c r="A21" s="11"/>
      <c r="B21" s="11"/>
      <c r="C21" s="11"/>
      <c r="D21" s="11"/>
      <c r="E21" s="11"/>
      <c r="F21" s="11"/>
      <c r="G21" s="11" t="s">
        <v>282</v>
      </c>
      <c r="H21" s="11">
        <v>4</v>
      </c>
      <c r="I21" s="11">
        <v>2</v>
      </c>
      <c r="J21" s="11"/>
      <c r="K21" s="11">
        <f>(H21*3)+(I21*4)+(J21*6)</f>
        <v>20</v>
      </c>
      <c r="L21" s="11"/>
      <c r="M21" s="136" t="s">
        <v>283</v>
      </c>
      <c r="N21" s="137"/>
      <c r="O21" s="11"/>
      <c r="P21" s="11"/>
      <c r="Q21" s="11"/>
      <c r="R21" s="11"/>
      <c r="S21" s="11"/>
      <c r="T21" s="11"/>
      <c r="U21" s="11"/>
      <c r="V21" s="11"/>
      <c r="W21" s="11"/>
      <c r="X21" s="11"/>
      <c r="Y21" s="11"/>
      <c r="Z21" s="11"/>
    </row>
    <row r="22" ht="13.5" customHeight="1">
      <c r="A22" s="11"/>
      <c r="B22" s="11"/>
      <c r="C22" s="11"/>
      <c r="D22" s="11"/>
      <c r="E22" s="11"/>
      <c r="F22" s="11"/>
      <c r="G22" s="11" t="s">
        <v>284</v>
      </c>
      <c r="H22" s="11">
        <v>3</v>
      </c>
      <c r="I22" s="11">
        <v>1</v>
      </c>
      <c r="J22" s="11"/>
      <c r="K22" s="11">
        <f>(H22*4)+(I22*5)+(J22*7)</f>
        <v>17</v>
      </c>
      <c r="L22" s="11"/>
      <c r="M22" s="136" t="s">
        <v>285</v>
      </c>
      <c r="N22" s="137"/>
      <c r="O22" s="11"/>
      <c r="P22" s="11"/>
      <c r="Q22" s="11"/>
      <c r="R22" s="11"/>
      <c r="S22" s="11"/>
      <c r="T22" s="11"/>
      <c r="U22" s="11"/>
      <c r="V22" s="11"/>
      <c r="W22" s="11"/>
      <c r="X22" s="11"/>
      <c r="Y22" s="11"/>
      <c r="Z22" s="11"/>
    </row>
    <row r="23" ht="13.5" customHeight="1">
      <c r="A23" s="11"/>
      <c r="B23" s="11"/>
      <c r="C23" s="11"/>
      <c r="D23" s="11"/>
      <c r="E23" s="11"/>
      <c r="F23" s="11"/>
      <c r="G23" s="11" t="s">
        <v>286</v>
      </c>
      <c r="H23" s="11">
        <v>2</v>
      </c>
      <c r="I23" s="11"/>
      <c r="J23" s="11"/>
      <c r="K23" s="11">
        <f>(H23*3)+(I23*4)+(J23*6)</f>
        <v>6</v>
      </c>
      <c r="L23" s="11"/>
      <c r="M23" s="140" t="s">
        <v>287</v>
      </c>
      <c r="N23" s="141">
        <f>SUM(N9:N22)</f>
        <v>0</v>
      </c>
      <c r="O23" s="11"/>
      <c r="P23" s="11"/>
      <c r="Q23" s="11"/>
      <c r="R23" s="11"/>
      <c r="S23" s="11"/>
      <c r="T23" s="11"/>
      <c r="U23" s="11"/>
      <c r="V23" s="11"/>
      <c r="W23" s="11"/>
      <c r="X23" s="11"/>
      <c r="Y23" s="11"/>
      <c r="Z23" s="11"/>
    </row>
    <row r="24" ht="13.5" customHeight="1">
      <c r="A24" s="4"/>
      <c r="B24" s="4"/>
      <c r="C24" s="4"/>
      <c r="D24" s="4"/>
      <c r="E24" s="4"/>
      <c r="F24" s="4"/>
      <c r="G24" s="4"/>
      <c r="H24" s="4"/>
      <c r="I24" s="4"/>
      <c r="J24" s="4"/>
      <c r="K24" s="4">
        <f ca="1">SUM(K9,K10,K11,K12,K13,K14,K15,K16,K17,K18,K19,K20,K21,K22,K23)</f>
        <v>0</v>
      </c>
      <c r="L24" s="4"/>
      <c r="M24" s="140" t="s">
        <v>288</v>
      </c>
      <c r="N24" s="139">
        <f>(N23*0.01)+0.65</f>
        <v>0.65000000000000002</v>
      </c>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140" t="s">
        <v>289</v>
      </c>
      <c r="N25" s="142">
        <f>K16*N24</f>
        <v>0</v>
      </c>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140" t="s">
        <v>290</v>
      </c>
      <c r="N26" s="143">
        <v>19</v>
      </c>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144" t="s">
        <v>291</v>
      </c>
      <c r="N27" s="145">
        <f>N25*N26</f>
        <v>0</v>
      </c>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M7:N7"/>
    <mergeCell ref="A3:N3"/>
    <mergeCell ref="G7:K7"/>
    <mergeCell ref="D7:E7"/>
    <mergeCell ref="A7:B7"/>
    <mergeCell ref="A4:N4"/>
    <mergeCell ref="A2:N2"/>
    <mergeCell ref="G11:K11"/>
    <mergeCell ref="G16:J16"/>
    <mergeCell ref="A5:N5"/>
    <mergeCell ref="A1:N1"/>
  </mergeCells>
  <printOptions headings="0" gridLines="0"/>
  <pageMargins left="0.51181102362204689" right="0.51181102362204689" top="1.181102362204725" bottom="1.181102362204725" header="0" footer="0"/>
  <pageSetup paperSize="9" scale="100" fitToWidth="1" fitToHeight="1" pageOrder="downThenOver" orientation="landscape" usePrinterDefaults="1" blackAndWhite="0" draft="0" cellComments="none" useFirstPageNumber="0" errors="displayed" horizontalDpi="600" verticalDpi="600" copies="1"/>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2.630000000000001" defaultRowHeight="15" customHeight="1"/>
  <cols>
    <col customWidth="1" min="1" max="1" width="45.5"/>
    <col customWidth="1" min="2" max="2" width="12.630000000000001"/>
    <col customWidth="1" min="3" max="3" width="12.75"/>
    <col customWidth="1" min="4" max="4" width="1.1299999999999999"/>
    <col customWidth="1" min="5" max="5" width="24.879999999999999"/>
    <col customWidth="1" min="6" max="6" width="6.75"/>
    <col customWidth="1" min="7" max="7" width="7"/>
    <col customWidth="1" min="8" max="8" width="6.5"/>
    <col customWidth="1" min="9" max="9" width="7"/>
    <col customWidth="1" min="10" max="10" width="10.130000000000001"/>
    <col customWidth="1" min="11" max="11" width="7"/>
    <col customWidth="1" min="12" max="12" width="7.6299999999999999"/>
    <col customWidth="1" min="13" max="13" width="7"/>
    <col customWidth="1" min="14" max="14" width="19.129999999999999"/>
    <col customWidth="1" min="15" max="26" width="8.6300000000000008"/>
  </cols>
  <sheetData>
    <row r="1" ht="13.5" customHeight="1">
      <c r="A1" s="127" t="s">
        <v>86</v>
      </c>
      <c r="B1" s="2"/>
      <c r="C1" s="2"/>
      <c r="D1" s="2"/>
      <c r="E1" s="2"/>
      <c r="F1" s="2"/>
      <c r="G1" s="2"/>
      <c r="H1" s="2"/>
      <c r="I1" s="2"/>
      <c r="J1" s="2"/>
      <c r="K1" s="2"/>
      <c r="L1" s="2"/>
      <c r="M1" s="2"/>
      <c r="N1" s="3"/>
      <c r="O1" s="4"/>
      <c r="P1" s="4"/>
      <c r="Q1" s="4"/>
      <c r="R1" s="4"/>
      <c r="S1" s="4"/>
      <c r="T1" s="4"/>
      <c r="U1" s="4"/>
      <c r="V1" s="4"/>
      <c r="W1" s="4"/>
      <c r="X1" s="4"/>
      <c r="Y1" s="4"/>
      <c r="Z1" s="4"/>
    </row>
    <row r="2" ht="7.5" customHeight="1">
      <c r="A2" s="4"/>
      <c r="B2" s="39"/>
      <c r="C2" s="4"/>
      <c r="D2" s="4"/>
      <c r="E2" s="4"/>
      <c r="F2" s="4"/>
      <c r="G2" s="4"/>
      <c r="H2" s="4"/>
      <c r="I2" s="4"/>
      <c r="J2" s="4"/>
      <c r="K2" s="4"/>
      <c r="L2" s="4"/>
      <c r="M2" s="4"/>
      <c r="N2" s="4"/>
      <c r="O2" s="4"/>
      <c r="P2" s="4"/>
      <c r="Q2" s="4"/>
      <c r="R2" s="4"/>
      <c r="S2" s="4"/>
      <c r="T2" s="4"/>
      <c r="U2" s="4"/>
      <c r="V2" s="4"/>
      <c r="W2" s="4"/>
      <c r="X2" s="4"/>
      <c r="Y2" s="4"/>
      <c r="Z2" s="4"/>
    </row>
    <row r="3" ht="13.5" customHeight="1">
      <c r="A3" s="146" t="s">
        <v>87</v>
      </c>
      <c r="B3" s="13"/>
      <c r="C3" s="13"/>
      <c r="D3" s="4"/>
      <c r="E3" s="146" t="s">
        <v>292</v>
      </c>
      <c r="F3" s="13"/>
      <c r="G3" s="13"/>
      <c r="H3" s="13"/>
      <c r="I3" s="13"/>
      <c r="J3" s="13"/>
      <c r="K3" s="13"/>
      <c r="L3" s="13"/>
      <c r="M3" s="13"/>
      <c r="N3" s="13"/>
      <c r="O3" s="4"/>
      <c r="P3" s="4"/>
      <c r="Q3" s="4"/>
      <c r="R3" s="4"/>
      <c r="S3" s="4"/>
      <c r="T3" s="4"/>
      <c r="U3" s="4"/>
      <c r="V3" s="4"/>
      <c r="W3" s="4"/>
      <c r="X3" s="4"/>
      <c r="Y3" s="4"/>
      <c r="Z3" s="4"/>
    </row>
    <row r="4" ht="13.5" customHeight="1">
      <c r="A4" s="147" t="s">
        <v>293</v>
      </c>
      <c r="B4" s="148">
        <f>'#Estimativa-APF#'!$N$27</f>
        <v>0</v>
      </c>
      <c r="C4" s="45" t="s">
        <v>89</v>
      </c>
      <c r="D4" s="4"/>
      <c r="E4" s="149" t="s">
        <v>294</v>
      </c>
      <c r="F4" s="150" t="s">
        <v>25</v>
      </c>
      <c r="G4" s="3"/>
      <c r="H4" s="150" t="s">
        <v>46</v>
      </c>
      <c r="I4" s="3"/>
      <c r="J4" s="150" t="s">
        <v>59</v>
      </c>
      <c r="K4" s="3"/>
      <c r="L4" s="150" t="s">
        <v>78</v>
      </c>
      <c r="M4" s="3"/>
      <c r="N4" s="151"/>
      <c r="O4" s="4"/>
      <c r="P4" s="4"/>
      <c r="Q4" s="4"/>
      <c r="R4" s="4"/>
      <c r="S4" s="4"/>
      <c r="T4" s="4"/>
      <c r="U4" s="4"/>
      <c r="V4" s="4"/>
      <c r="W4" s="4"/>
      <c r="X4" s="4"/>
      <c r="Y4" s="4"/>
      <c r="Z4" s="4"/>
    </row>
    <row r="5" ht="13.5" customHeight="1">
      <c r="A5" s="43" t="s">
        <v>90</v>
      </c>
      <c r="B5" s="44">
        <v>0</v>
      </c>
      <c r="C5" s="53" t="s">
        <v>295</v>
      </c>
      <c r="D5" s="4"/>
      <c r="E5" s="152"/>
      <c r="F5" s="150" t="s">
        <v>26</v>
      </c>
      <c r="G5" s="3"/>
      <c r="H5" s="150" t="s">
        <v>26</v>
      </c>
      <c r="I5" s="3"/>
      <c r="J5" s="150" t="s">
        <v>26</v>
      </c>
      <c r="K5" s="3"/>
      <c r="L5" s="150" t="s">
        <v>26</v>
      </c>
      <c r="M5" s="3"/>
      <c r="N5" s="55" t="s">
        <v>296</v>
      </c>
      <c r="O5" s="4"/>
      <c r="P5" s="4"/>
      <c r="Q5" s="4"/>
      <c r="R5" s="4"/>
      <c r="S5" s="4"/>
      <c r="T5" s="4"/>
      <c r="U5" s="4"/>
      <c r="V5" s="4"/>
      <c r="W5" s="4"/>
      <c r="X5" s="4"/>
      <c r="Y5" s="4"/>
      <c r="Z5" s="4"/>
    </row>
    <row r="6" ht="13.5" customHeight="1">
      <c r="A6" s="153" t="s">
        <v>297</v>
      </c>
      <c r="B6" s="154">
        <f>B4+(B4*B5)</f>
        <v>0</v>
      </c>
      <c r="C6" s="53" t="s">
        <v>89</v>
      </c>
      <c r="D6" s="4"/>
      <c r="E6" s="117"/>
      <c r="F6" s="155">
        <f>B6*G6</f>
        <v>0</v>
      </c>
      <c r="G6" s="44">
        <v>5.0000000000000003e-002</v>
      </c>
      <c r="H6" s="155">
        <f>B4*I6</f>
        <v>0</v>
      </c>
      <c r="I6" s="44">
        <v>0.20000000000000001</v>
      </c>
      <c r="J6" s="155">
        <f>B4*K6</f>
        <v>0</v>
      </c>
      <c r="K6" s="44">
        <v>0.65000000000000002</v>
      </c>
      <c r="L6" s="155">
        <f>B4*M6</f>
        <v>0</v>
      </c>
      <c r="M6" s="44">
        <v>0.10000000000000001</v>
      </c>
      <c r="N6" s="155"/>
      <c r="O6" s="4"/>
      <c r="P6" s="4"/>
      <c r="Q6" s="4"/>
      <c r="R6" s="4"/>
      <c r="S6" s="4"/>
      <c r="T6" s="4"/>
      <c r="U6" s="4"/>
      <c r="V6" s="4"/>
      <c r="W6" s="4"/>
      <c r="X6" s="4"/>
      <c r="Y6" s="4"/>
      <c r="Z6" s="4"/>
    </row>
    <row r="7" ht="13.5" customHeight="1">
      <c r="A7" s="45" t="s">
        <v>298</v>
      </c>
      <c r="B7" s="46">
        <v>1</v>
      </c>
      <c r="C7" s="45"/>
      <c r="D7" s="4"/>
      <c r="E7" s="156" t="s">
        <v>299</v>
      </c>
      <c r="F7" s="155">
        <f>F6*G7</f>
        <v>0</v>
      </c>
      <c r="G7" s="44">
        <v>0.55000000000000004</v>
      </c>
      <c r="H7" s="155">
        <f>H6*I7</f>
        <v>0</v>
      </c>
      <c r="I7" s="44">
        <v>0.29999999999999999</v>
      </c>
      <c r="J7" s="155">
        <f>J6*K7</f>
        <v>0</v>
      </c>
      <c r="K7" s="44">
        <v>0.12</v>
      </c>
      <c r="L7" s="155">
        <f>L6*M7</f>
        <v>0</v>
      </c>
      <c r="M7" s="44">
        <v>5.0000000000000003e-002</v>
      </c>
      <c r="N7" s="157">
        <f t="shared" ref="N7:N9" si="5">SUM(F7,H7,J7,L7)</f>
        <v>0</v>
      </c>
      <c r="O7" s="4"/>
      <c r="P7" s="4"/>
      <c r="Q7" s="4"/>
      <c r="R7" s="4"/>
      <c r="S7" s="4"/>
      <c r="T7" s="4"/>
      <c r="U7" s="4"/>
      <c r="V7" s="4"/>
      <c r="W7" s="4"/>
      <c r="X7" s="4"/>
      <c r="Y7" s="4"/>
      <c r="Z7" s="4"/>
    </row>
    <row r="8" ht="13.5" customHeight="1">
      <c r="A8" s="45" t="s">
        <v>300</v>
      </c>
      <c r="B8" s="46">
        <v>40</v>
      </c>
      <c r="C8" s="45" t="s">
        <v>301</v>
      </c>
      <c r="D8" s="4"/>
      <c r="E8" s="156" t="s">
        <v>302</v>
      </c>
      <c r="F8" s="155">
        <f>F6*G8</f>
        <v>0</v>
      </c>
      <c r="G8" s="44">
        <v>0.14999999999999999</v>
      </c>
      <c r="H8" s="155">
        <f>H6*I8</f>
        <v>0</v>
      </c>
      <c r="I8" s="44">
        <v>0.20000000000000001</v>
      </c>
      <c r="J8" s="155">
        <f>J6*K8</f>
        <v>0</v>
      </c>
      <c r="K8" s="44">
        <v>0.10000000000000001</v>
      </c>
      <c r="L8" s="155">
        <f>L6*M8</f>
        <v>0</v>
      </c>
      <c r="M8" s="44">
        <v>5.0000000000000003e-002</v>
      </c>
      <c r="N8" s="157">
        <f t="shared" si="5"/>
        <v>0</v>
      </c>
      <c r="O8" s="4"/>
      <c r="P8" s="4"/>
      <c r="Q8" s="4"/>
      <c r="R8" s="4"/>
      <c r="S8" s="4"/>
      <c r="T8" s="4"/>
      <c r="U8" s="4"/>
      <c r="V8" s="4"/>
      <c r="W8" s="4"/>
      <c r="X8" s="4"/>
      <c r="Y8" s="4"/>
      <c r="Z8" s="4"/>
    </row>
    <row r="9" ht="13.5" customHeight="1">
      <c r="A9" s="45" t="s">
        <v>303</v>
      </c>
      <c r="B9" s="46">
        <v>2</v>
      </c>
      <c r="C9" s="45" t="s">
        <v>100</v>
      </c>
      <c r="D9" s="4"/>
      <c r="E9" s="156" t="s">
        <v>304</v>
      </c>
      <c r="F9" s="155">
        <f>F6*G9</f>
        <v>0</v>
      </c>
      <c r="G9" s="44">
        <v>2.e-002</v>
      </c>
      <c r="H9" s="155">
        <f>H6*I9</f>
        <v>0</v>
      </c>
      <c r="I9" s="44">
        <v>0.20000000000000001</v>
      </c>
      <c r="J9" s="155">
        <f>J6*K9</f>
        <v>0</v>
      </c>
      <c r="K9" s="44">
        <v>0.40000000000000002</v>
      </c>
      <c r="L9" s="155">
        <f>L6*M9</f>
        <v>0</v>
      </c>
      <c r="M9" s="44">
        <v>0.14999999999999999</v>
      </c>
      <c r="N9" s="157">
        <f t="shared" si="5"/>
        <v>0</v>
      </c>
      <c r="O9" s="4"/>
      <c r="P9" s="4"/>
      <c r="Q9" s="4"/>
      <c r="R9" s="4"/>
      <c r="S9" s="4"/>
      <c r="T9" s="4"/>
      <c r="U9" s="4"/>
      <c r="V9" s="4"/>
      <c r="W9" s="4"/>
      <c r="X9" s="4"/>
      <c r="Y9" s="4"/>
      <c r="Z9" s="4"/>
    </row>
    <row r="10" ht="13.5" customHeight="1">
      <c r="A10" s="158" t="s">
        <v>305</v>
      </c>
      <c r="B10" s="159">
        <f>(B7*B8)*B9</f>
        <v>80</v>
      </c>
      <c r="C10" s="158" t="s">
        <v>89</v>
      </c>
      <c r="D10" s="4"/>
      <c r="E10" s="156" t="s">
        <v>306</v>
      </c>
      <c r="F10" s="155">
        <f>F6*G10</f>
        <v>0</v>
      </c>
      <c r="G10" s="44">
        <v>5.0000000000000003e-002</v>
      </c>
      <c r="H10" s="155">
        <f>H6*I10</f>
        <v>0</v>
      </c>
      <c r="I10" s="44">
        <v>8.0000000000000002e-002</v>
      </c>
      <c r="J10" s="155">
        <f>J6*K10</f>
        <v>0</v>
      </c>
      <c r="K10" s="44">
        <v>0.10000000000000001</v>
      </c>
      <c r="L10" s="155">
        <f>L6*M10</f>
        <v>0</v>
      </c>
      <c r="M10" s="44">
        <v>0.10000000000000001</v>
      </c>
      <c r="N10" s="157">
        <f t="shared" ref="N10:N14" si="6">SUM(F10,H10,J10,L10)</f>
        <v>0</v>
      </c>
      <c r="O10" s="4"/>
      <c r="P10" s="4"/>
      <c r="Q10" s="4"/>
      <c r="R10" s="4"/>
      <c r="S10" s="4"/>
      <c r="T10" s="4"/>
      <c r="U10" s="4"/>
      <c r="V10" s="4"/>
      <c r="W10" s="4"/>
      <c r="X10" s="4"/>
      <c r="Y10" s="4"/>
      <c r="Z10" s="4"/>
    </row>
    <row r="11" ht="13.5" customHeight="1">
      <c r="A11" s="147" t="s">
        <v>307</v>
      </c>
      <c r="B11" s="160">
        <f>B6/B10*2</f>
        <v>0</v>
      </c>
      <c r="C11" s="147" t="s">
        <v>100</v>
      </c>
      <c r="D11" s="4"/>
      <c r="E11" s="156" t="s">
        <v>308</v>
      </c>
      <c r="F11" s="155">
        <f>F6*G11</f>
        <v>0</v>
      </c>
      <c r="G11" s="44">
        <v>0</v>
      </c>
      <c r="H11" s="155">
        <f>H6*I11</f>
        <v>0</v>
      </c>
      <c r="I11" s="44">
        <v>2.e-002</v>
      </c>
      <c r="J11" s="155">
        <f>J6*K11</f>
        <v>0</v>
      </c>
      <c r="K11" s="44">
        <v>5.0000000000000003e-002</v>
      </c>
      <c r="L11" s="155">
        <f>L6*M11</f>
        <v>0</v>
      </c>
      <c r="M11" s="44">
        <v>0.10000000000000001</v>
      </c>
      <c r="N11" s="157">
        <f t="shared" si="6"/>
        <v>0</v>
      </c>
      <c r="O11" s="4"/>
      <c r="P11" s="4"/>
      <c r="Q11" s="4"/>
      <c r="R11" s="4"/>
      <c r="S11" s="4"/>
      <c r="T11" s="4"/>
      <c r="U11" s="4"/>
      <c r="V11" s="4"/>
      <c r="W11" s="4"/>
      <c r="X11" s="4"/>
      <c r="Y11" s="4"/>
      <c r="Z11" s="4"/>
    </row>
    <row r="12" ht="13.5" customHeight="1">
      <c r="A12" s="147" t="s">
        <v>309</v>
      </c>
      <c r="B12" s="160">
        <f>B11/4</f>
        <v>0</v>
      </c>
      <c r="C12" s="147" t="s">
        <v>102</v>
      </c>
      <c r="D12" s="4"/>
      <c r="E12" s="161" t="s">
        <v>310</v>
      </c>
      <c r="F12" s="162">
        <f>SUM(F7:F11)</f>
        <v>0</v>
      </c>
      <c r="G12" s="163">
        <f>SUM(G7:G11)</f>
        <v>0.77000000000000013</v>
      </c>
      <c r="H12" s="162">
        <f>SUM(H7:H11)</f>
        <v>0</v>
      </c>
      <c r="I12" s="163">
        <f>SUM(I7:I11)</f>
        <v>0.79999999999999993</v>
      </c>
      <c r="J12" s="162">
        <f>SUM(J7:J11)</f>
        <v>0</v>
      </c>
      <c r="K12" s="163">
        <f>SUM(K7:K11)</f>
        <v>0.77000000000000002</v>
      </c>
      <c r="L12" s="162">
        <f>SUM(L7:L11)</f>
        <v>0</v>
      </c>
      <c r="M12" s="163">
        <f>SUM(M7:M11)</f>
        <v>0.44999999999999996</v>
      </c>
      <c r="N12" s="161"/>
      <c r="O12" s="4"/>
      <c r="P12" s="4"/>
      <c r="Q12" s="4"/>
      <c r="R12" s="4"/>
      <c r="S12" s="4"/>
      <c r="T12" s="4"/>
      <c r="U12" s="4"/>
      <c r="V12" s="4"/>
      <c r="W12" s="4"/>
      <c r="X12" s="4"/>
      <c r="Y12" s="4"/>
      <c r="Z12" s="4"/>
    </row>
    <row r="13" ht="13.5" customHeight="1">
      <c r="A13" s="158" t="s">
        <v>311</v>
      </c>
      <c r="B13" s="164">
        <f>B11/B9</f>
        <v>0</v>
      </c>
      <c r="C13" s="158" t="s">
        <v>312</v>
      </c>
      <c r="D13" s="4"/>
      <c r="E13" s="156" t="s">
        <v>313</v>
      </c>
      <c r="F13" s="155">
        <f>F6*G13</f>
        <v>0</v>
      </c>
      <c r="G13" s="44">
        <v>2.9999999999999999e-002</v>
      </c>
      <c r="H13" s="155">
        <f>H6*I13</f>
        <v>0</v>
      </c>
      <c r="I13" s="44">
        <v>8.0000000000000002e-002</v>
      </c>
      <c r="J13" s="155">
        <f>J6*K13</f>
        <v>0</v>
      </c>
      <c r="K13" s="44">
        <v>0.13</v>
      </c>
      <c r="L13" s="155">
        <f>L6*M13</f>
        <v>0</v>
      </c>
      <c r="M13" s="44">
        <v>0.29999999999999999</v>
      </c>
      <c r="N13" s="157">
        <f t="shared" si="6"/>
        <v>0</v>
      </c>
      <c r="O13" s="4"/>
      <c r="P13" s="4"/>
      <c r="Q13" s="4"/>
      <c r="R13" s="4"/>
      <c r="S13" s="4"/>
      <c r="T13" s="4"/>
      <c r="U13" s="4"/>
      <c r="V13" s="4"/>
      <c r="W13" s="4"/>
      <c r="X13" s="4"/>
      <c r="Y13" s="4"/>
      <c r="Z13" s="4"/>
    </row>
    <row r="14" ht="13.5" customHeight="1">
      <c r="A14" s="4"/>
      <c r="B14" s="39"/>
      <c r="C14" s="4"/>
      <c r="D14" s="4"/>
      <c r="E14" s="156" t="s">
        <v>314</v>
      </c>
      <c r="F14" s="155">
        <f>F6*G14</f>
        <v>0</v>
      </c>
      <c r="G14" s="44">
        <v>0.20000000000000001</v>
      </c>
      <c r="H14" s="155">
        <f>H6*I14</f>
        <v>0</v>
      </c>
      <c r="I14" s="44">
        <v>0.12</v>
      </c>
      <c r="J14" s="155">
        <f>J6*K14</f>
        <v>0</v>
      </c>
      <c r="K14" s="44">
        <v>0.10000000000000001</v>
      </c>
      <c r="L14" s="155">
        <f>L6*M14</f>
        <v>0</v>
      </c>
      <c r="M14" s="44">
        <v>0.25</v>
      </c>
      <c r="N14" s="157">
        <f t="shared" si="6"/>
        <v>0</v>
      </c>
      <c r="O14" s="4"/>
      <c r="P14" s="4"/>
      <c r="Q14" s="4"/>
      <c r="R14" s="4"/>
      <c r="S14" s="4"/>
      <c r="T14" s="4"/>
      <c r="U14" s="4"/>
      <c r="V14" s="4"/>
      <c r="W14" s="4"/>
      <c r="X14" s="4"/>
      <c r="Y14" s="4"/>
      <c r="Z14" s="4"/>
    </row>
    <row r="15" ht="13.5" customHeight="1">
      <c r="A15" s="4"/>
      <c r="B15" s="39"/>
      <c r="C15" s="4"/>
      <c r="D15" s="4"/>
      <c r="E15" s="161" t="s">
        <v>315</v>
      </c>
      <c r="F15" s="162">
        <f>SUM(F13:F14)</f>
        <v>0</v>
      </c>
      <c r="G15" s="163">
        <f>SUM(G13:G14)</f>
        <v>0.23000000000000001</v>
      </c>
      <c r="H15" s="162">
        <f>SUM(H13:H14)</f>
        <v>0</v>
      </c>
      <c r="I15" s="163">
        <f>SUM(I13:I14)</f>
        <v>0.20000000000000001</v>
      </c>
      <c r="J15" s="162">
        <f>SUM(J13:J14)</f>
        <v>0</v>
      </c>
      <c r="K15" s="163">
        <f>SUM(K13:K14)</f>
        <v>0.23000000000000001</v>
      </c>
      <c r="L15" s="162">
        <f>SUM(L13:L14)</f>
        <v>0</v>
      </c>
      <c r="M15" s="163">
        <f>SUM(M13:M14)</f>
        <v>0.55000000000000004</v>
      </c>
      <c r="N15" s="161"/>
      <c r="O15" s="4"/>
      <c r="P15" s="4"/>
      <c r="Q15" s="4"/>
      <c r="R15" s="4"/>
      <c r="S15" s="4"/>
      <c r="T15" s="4"/>
      <c r="U15" s="4"/>
      <c r="V15" s="4"/>
      <c r="W15" s="4"/>
      <c r="X15" s="4"/>
      <c r="Y15" s="4"/>
      <c r="Z15" s="4"/>
    </row>
    <row r="16" ht="13.5" customHeight="1">
      <c r="A16" s="146" t="s">
        <v>103</v>
      </c>
      <c r="B16" s="13"/>
      <c r="C16" s="13"/>
      <c r="D16" s="4"/>
      <c r="E16" s="55" t="s">
        <v>316</v>
      </c>
      <c r="F16" s="165">
        <f>F12+F15</f>
        <v>0</v>
      </c>
      <c r="G16" s="166">
        <f>G12+G15</f>
        <v>1.0000000000000002</v>
      </c>
      <c r="H16" s="165">
        <f>H12+H15</f>
        <v>0</v>
      </c>
      <c r="I16" s="166">
        <f>I12+I15</f>
        <v>1</v>
      </c>
      <c r="J16" s="165">
        <f>J12+J15</f>
        <v>0</v>
      </c>
      <c r="K16" s="166">
        <f>K12+K15</f>
        <v>1</v>
      </c>
      <c r="L16" s="165">
        <f>L12+L15</f>
        <v>0</v>
      </c>
      <c r="M16" s="166">
        <f>M12+M15</f>
        <v>1</v>
      </c>
      <c r="N16" s="167">
        <f>SUM(N7:N11,N13,N14)</f>
        <v>0</v>
      </c>
      <c r="O16" s="4"/>
      <c r="P16" s="4"/>
      <c r="Q16" s="4"/>
      <c r="R16" s="4"/>
      <c r="S16" s="4"/>
      <c r="T16" s="4"/>
      <c r="U16" s="4"/>
      <c r="V16" s="4"/>
      <c r="W16" s="4"/>
      <c r="X16" s="4"/>
      <c r="Y16" s="4"/>
      <c r="Z16" s="4"/>
    </row>
    <row r="17" ht="13.5" customHeight="1">
      <c r="A17" s="45" t="s">
        <v>104</v>
      </c>
      <c r="B17" s="168">
        <v>20</v>
      </c>
      <c r="C17" s="53"/>
      <c r="D17" s="4"/>
      <c r="E17" s="4"/>
      <c r="F17" s="4"/>
      <c r="G17" s="4"/>
      <c r="H17" s="4"/>
      <c r="I17" s="4"/>
      <c r="J17" s="4"/>
      <c r="K17" s="4"/>
      <c r="L17" s="4"/>
      <c r="M17" s="4"/>
      <c r="N17" s="90"/>
      <c r="O17" s="4"/>
      <c r="P17" s="4"/>
      <c r="Q17" s="4"/>
      <c r="R17" s="4"/>
      <c r="S17" s="4"/>
      <c r="T17" s="4"/>
      <c r="U17" s="4"/>
      <c r="V17" s="4"/>
      <c r="W17" s="4"/>
      <c r="X17" s="4"/>
      <c r="Y17" s="4"/>
      <c r="Z17" s="4"/>
    </row>
    <row r="18" ht="13.5" customHeight="1">
      <c r="A18" s="45" t="s">
        <v>105</v>
      </c>
      <c r="B18" s="54">
        <f>B6*B17</f>
        <v>0</v>
      </c>
      <c r="C18" s="53"/>
      <c r="D18" s="4"/>
      <c r="E18" s="4"/>
      <c r="F18" s="4"/>
      <c r="G18" s="4"/>
      <c r="H18" s="4"/>
      <c r="I18" s="4"/>
      <c r="J18" s="4"/>
      <c r="K18" s="4"/>
      <c r="L18" s="90"/>
      <c r="M18" s="4"/>
      <c r="N18" s="90"/>
      <c r="O18" s="4"/>
      <c r="P18" s="4"/>
      <c r="Q18" s="4"/>
      <c r="R18" s="4"/>
      <c r="S18" s="4"/>
      <c r="T18" s="4"/>
      <c r="U18" s="4"/>
      <c r="V18" s="4"/>
      <c r="W18" s="4"/>
      <c r="X18" s="4"/>
      <c r="Y18" s="4"/>
      <c r="Z18" s="4"/>
    </row>
    <row r="19" ht="13.5" customHeight="1">
      <c r="A19" s="45" t="s">
        <v>106</v>
      </c>
      <c r="B19" s="44">
        <v>0</v>
      </c>
      <c r="C19" s="53"/>
      <c r="D19" s="4"/>
      <c r="E19" s="4"/>
      <c r="F19" s="4"/>
      <c r="G19" s="4"/>
      <c r="H19" s="4"/>
      <c r="I19" s="4"/>
      <c r="J19" s="4"/>
      <c r="K19" s="4"/>
      <c r="L19" s="4"/>
      <c r="M19" s="4"/>
      <c r="N19" s="90"/>
      <c r="O19" s="4"/>
      <c r="P19" s="4"/>
      <c r="Q19" s="4"/>
      <c r="R19" s="4"/>
      <c r="S19" s="4"/>
      <c r="T19" s="4"/>
      <c r="U19" s="4"/>
      <c r="V19" s="4"/>
      <c r="W19" s="4"/>
      <c r="X19" s="4"/>
      <c r="Y19" s="4"/>
      <c r="Z19" s="4"/>
    </row>
    <row r="20" ht="13.5" customHeight="1">
      <c r="A20" s="45" t="s">
        <v>107</v>
      </c>
      <c r="B20" s="54">
        <f>B18*B19</f>
        <v>0</v>
      </c>
      <c r="C20" s="53"/>
      <c r="D20" s="4"/>
      <c r="E20" s="4"/>
      <c r="F20" s="4"/>
      <c r="G20" s="4"/>
      <c r="H20" s="4"/>
      <c r="I20" s="4"/>
      <c r="J20" s="4"/>
      <c r="K20" s="4"/>
      <c r="L20" s="90"/>
      <c r="M20" s="4"/>
      <c r="N20" s="90"/>
      <c r="O20" s="4"/>
      <c r="P20" s="4"/>
      <c r="Q20" s="4"/>
      <c r="R20" s="4"/>
      <c r="S20" s="4"/>
      <c r="T20" s="4"/>
      <c r="U20" s="4"/>
      <c r="V20" s="4"/>
      <c r="W20" s="4"/>
      <c r="X20" s="4"/>
      <c r="Y20" s="4"/>
      <c r="Z20" s="4"/>
    </row>
    <row r="21" ht="13.5" customHeight="1">
      <c r="A21" s="41" t="s">
        <v>317</v>
      </c>
      <c r="B21" s="169">
        <f>B18+B20</f>
        <v>0</v>
      </c>
      <c r="C21" s="53"/>
      <c r="D21" s="4"/>
      <c r="E21" s="4"/>
      <c r="F21" s="4"/>
      <c r="G21" s="4"/>
      <c r="H21" s="4"/>
      <c r="I21" s="4"/>
      <c r="J21" s="4"/>
      <c r="K21" s="4"/>
      <c r="L21" s="4"/>
      <c r="M21" s="4"/>
      <c r="N21" s="90"/>
      <c r="O21" s="4"/>
      <c r="P21" s="4"/>
      <c r="Q21" s="4"/>
      <c r="R21" s="4"/>
      <c r="S21" s="4"/>
      <c r="T21" s="4"/>
      <c r="U21" s="4"/>
      <c r="V21" s="4"/>
      <c r="W21" s="4"/>
      <c r="X21" s="4"/>
      <c r="Y21" s="4"/>
      <c r="Z21" s="4"/>
    </row>
    <row r="22" ht="13.5" customHeight="1">
      <c r="A22" s="45" t="s">
        <v>109</v>
      </c>
      <c r="B22" s="44">
        <v>0.20000000000000001</v>
      </c>
      <c r="C22" s="53"/>
      <c r="D22" s="4"/>
      <c r="E22" s="4"/>
      <c r="F22" s="4"/>
      <c r="G22" s="4"/>
      <c r="H22" s="4"/>
      <c r="I22" s="4"/>
      <c r="J22" s="90"/>
      <c r="K22" s="4"/>
      <c r="L22" s="4"/>
      <c r="M22" s="4"/>
      <c r="N22" s="4"/>
      <c r="O22" s="4"/>
      <c r="P22" s="4"/>
      <c r="Q22" s="4"/>
      <c r="R22" s="4"/>
      <c r="S22" s="4"/>
      <c r="T22" s="4"/>
      <c r="U22" s="4"/>
      <c r="V22" s="4"/>
      <c r="W22" s="4"/>
      <c r="X22" s="4"/>
      <c r="Y22" s="4"/>
      <c r="Z22" s="4"/>
    </row>
    <row r="23" ht="13.5" customHeight="1">
      <c r="A23" s="45" t="s">
        <v>110</v>
      </c>
      <c r="B23" s="57">
        <f>B21*B22</f>
        <v>0</v>
      </c>
      <c r="C23" s="53"/>
      <c r="D23" s="4"/>
      <c r="E23" s="4"/>
      <c r="F23" s="4"/>
      <c r="G23" s="4"/>
      <c r="H23" s="4"/>
      <c r="I23" s="4"/>
      <c r="J23" s="4"/>
      <c r="K23" s="4"/>
      <c r="L23" s="4"/>
      <c r="M23" s="4"/>
      <c r="N23" s="4"/>
      <c r="O23" s="4"/>
      <c r="P23" s="4"/>
      <c r="Q23" s="4"/>
      <c r="R23" s="4"/>
      <c r="S23" s="4"/>
      <c r="T23" s="4"/>
      <c r="U23" s="4"/>
      <c r="V23" s="4"/>
      <c r="W23" s="4"/>
      <c r="X23" s="4"/>
      <c r="Y23" s="4"/>
      <c r="Z23" s="4"/>
    </row>
    <row r="24" ht="13.5" customHeight="1">
      <c r="A24" s="41" t="s">
        <v>318</v>
      </c>
      <c r="B24" s="169">
        <f>B21+B23</f>
        <v>0</v>
      </c>
      <c r="C24" s="53"/>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39"/>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39"/>
      <c r="C26" s="4"/>
      <c r="D26" s="4"/>
      <c r="E26" s="4"/>
      <c r="F26" s="4"/>
      <c r="G26" s="4"/>
      <c r="H26" s="4"/>
      <c r="I26" s="4"/>
      <c r="J26" s="90"/>
      <c r="K26" s="4"/>
      <c r="L26" s="4"/>
      <c r="M26" s="4"/>
      <c r="N26" s="4"/>
      <c r="O26" s="4"/>
      <c r="P26" s="4"/>
      <c r="Q26" s="4"/>
      <c r="R26" s="4"/>
      <c r="S26" s="4"/>
      <c r="T26" s="4"/>
      <c r="U26" s="4"/>
      <c r="V26" s="4"/>
      <c r="W26" s="4"/>
      <c r="X26" s="4"/>
      <c r="Y26" s="4"/>
      <c r="Z26" s="4"/>
    </row>
    <row r="27" ht="13.5" customHeight="1">
      <c r="A27" s="4"/>
      <c r="B27" s="39"/>
      <c r="C27" s="4"/>
      <c r="D27" s="4"/>
      <c r="E27" s="4"/>
      <c r="F27" s="4"/>
      <c r="G27" s="4"/>
      <c r="H27" s="4"/>
      <c r="I27" s="4"/>
      <c r="J27" s="90"/>
      <c r="K27" s="4"/>
      <c r="L27" s="4"/>
      <c r="M27" s="4"/>
      <c r="N27" s="4"/>
      <c r="O27" s="4"/>
      <c r="P27" s="4"/>
      <c r="Q27" s="4"/>
      <c r="R27" s="4"/>
      <c r="S27" s="4"/>
      <c r="T27" s="4"/>
      <c r="U27" s="4"/>
      <c r="V27" s="4"/>
      <c r="W27" s="4"/>
      <c r="X27" s="4"/>
      <c r="Y27" s="4"/>
      <c r="Z27" s="4"/>
    </row>
    <row r="28" ht="13.5" customHeight="1">
      <c r="A28" s="4"/>
      <c r="B28" s="39"/>
      <c r="C28" s="4"/>
      <c r="D28" s="4"/>
      <c r="E28" s="4"/>
      <c r="F28" s="4"/>
      <c r="G28" s="4"/>
      <c r="H28" s="4"/>
      <c r="I28" s="4"/>
      <c r="J28" s="4"/>
      <c r="K28" s="4"/>
      <c r="L28" s="4"/>
      <c r="M28" s="4"/>
      <c r="N28" s="90"/>
      <c r="O28" s="4"/>
      <c r="P28" s="4"/>
      <c r="Q28" s="4"/>
      <c r="R28" s="4"/>
      <c r="S28" s="4"/>
      <c r="T28" s="4"/>
      <c r="U28" s="4"/>
      <c r="V28" s="4"/>
      <c r="W28" s="4"/>
      <c r="X28" s="4"/>
      <c r="Y28" s="4"/>
      <c r="Z28" s="4"/>
    </row>
    <row r="29" ht="13.5" customHeight="1">
      <c r="A29" s="4"/>
      <c r="B29" s="39"/>
      <c r="C29" s="4"/>
      <c r="D29" s="4"/>
      <c r="E29" s="4"/>
      <c r="F29" s="4"/>
      <c r="G29" s="4"/>
      <c r="H29" s="4"/>
      <c r="I29" s="4"/>
      <c r="J29" s="4"/>
      <c r="K29" s="4"/>
      <c r="L29" s="4"/>
      <c r="M29" s="4"/>
      <c r="N29" s="90"/>
      <c r="O29" s="4"/>
      <c r="P29" s="4"/>
      <c r="Q29" s="4"/>
      <c r="R29" s="4"/>
      <c r="S29" s="4"/>
      <c r="T29" s="4"/>
      <c r="U29" s="4"/>
      <c r="V29" s="4"/>
      <c r="W29" s="4"/>
      <c r="X29" s="4"/>
      <c r="Y29" s="4"/>
      <c r="Z29" s="4"/>
    </row>
    <row r="30" ht="13.5" customHeight="1">
      <c r="A30" s="4"/>
      <c r="B30" s="39"/>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39"/>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39"/>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39"/>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39"/>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39"/>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39"/>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39"/>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39"/>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39"/>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39"/>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39"/>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39"/>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39"/>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39"/>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39"/>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39"/>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39"/>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39"/>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39"/>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39"/>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39"/>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39"/>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39"/>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39"/>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39"/>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39"/>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39"/>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39"/>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39"/>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39"/>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39"/>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39"/>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39"/>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39"/>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39"/>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39"/>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39"/>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39"/>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39"/>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39"/>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39"/>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39"/>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39"/>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39"/>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39"/>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39"/>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39"/>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39"/>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39"/>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39"/>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39"/>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39"/>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39"/>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39"/>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39"/>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39"/>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39"/>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39"/>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39"/>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39"/>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39"/>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39"/>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39"/>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39"/>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39"/>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39"/>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39"/>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39"/>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39"/>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39"/>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39"/>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39"/>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39"/>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39"/>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39"/>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39"/>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39"/>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39"/>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39"/>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39"/>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39"/>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39"/>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39"/>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39"/>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39"/>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39"/>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39"/>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39"/>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39"/>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39"/>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39"/>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39"/>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39"/>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39"/>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39"/>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39"/>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39"/>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39"/>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39"/>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39"/>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39"/>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39"/>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39"/>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39"/>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39"/>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39"/>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39"/>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39"/>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39"/>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39"/>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39"/>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39"/>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39"/>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39"/>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39"/>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39"/>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39"/>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39"/>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39"/>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39"/>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39"/>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39"/>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39"/>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39"/>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39"/>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39"/>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39"/>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39"/>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39"/>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39"/>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39"/>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39"/>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39"/>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39"/>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39"/>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39"/>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39"/>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39"/>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39"/>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39"/>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39"/>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39"/>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39"/>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39"/>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39"/>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39"/>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39"/>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39"/>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39"/>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39"/>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39"/>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39"/>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39"/>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39"/>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39"/>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39"/>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39"/>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39"/>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39"/>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39"/>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39"/>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39"/>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39"/>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39"/>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39"/>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39"/>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39"/>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39"/>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39"/>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39"/>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39"/>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39"/>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39"/>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39"/>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39"/>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39"/>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39"/>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39"/>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39"/>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39"/>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39"/>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39"/>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39"/>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39"/>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39"/>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39"/>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39"/>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39"/>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39"/>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39"/>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39"/>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39"/>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39"/>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39"/>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F4:G4"/>
    <mergeCell ref="J4:K4"/>
    <mergeCell ref="L4:M4"/>
    <mergeCell ref="J5:K5"/>
    <mergeCell ref="F5:G5"/>
    <mergeCell ref="E4:E6"/>
    <mergeCell ref="E3:N3"/>
    <mergeCell ref="H5:I5"/>
    <mergeCell ref="A3:C3"/>
    <mergeCell ref="L5:M5"/>
    <mergeCell ref="H4:I4"/>
    <mergeCell ref="A16:C16"/>
    <mergeCell ref="A1:N1"/>
  </mergeCells>
  <printOptions headings="0" gridLines="0"/>
  <pageMargins left="0.51181102362204689" right="0.51181102362204689" top="1.181102362204725" bottom="1.181102362204725" header="0" footer="0"/>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2026-05-30T22:17:43Z</dcterms:created>
  <dcterms:modified xsi:type="dcterms:W3CDTF">2026-05-30T22:28:18Z</dcterms:modified>
</cp:coreProperties>
</file>