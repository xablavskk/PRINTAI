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 showHorizontalScroll="1" showVerticalScroll="1"/>
  </bookViews>
  <sheets>
    <sheet name="Capa" sheetId="1" state="visible" r:id="rId1"/>
    <sheet name="AUX" sheetId="2" state="hidden" r:id="rId2"/>
    <sheet name="UC-Buscar Impressoras 3D" sheetId="3" state="visible" r:id="rId3"/>
    <sheet name="UC-Realizar Cadastro" sheetId="4" state="visible" r:id="rId4"/>
    <sheet name="UC-Solicitar Cadastro" sheetId="5" state="visible" r:id="rId5"/>
    <sheet name="UC-Solicitar Pedido" sheetId="6" state="visible" r:id="rId6"/>
  </sheets>
  <definedNames>
    <definedName name="___xlfn_IFERROR">NA()</definedName>
    <definedName name="__xlfn_IFERROR">NA()</definedName>
    <definedName name="combo_SimNao">AUX!$A$2:$A$3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<sst xmlns="http://schemas.openxmlformats.org/spreadsheetml/2006/main" count="174" uniqueCount="174">
  <si>
    <t>PRINTAI</t>
  </si>
  <si>
    <t xml:space="preserve">Qde de Defeitos</t>
  </si>
  <si>
    <t xml:space="preserve">Caso de Uso</t>
  </si>
  <si>
    <t xml:space="preserve">Total de Cenários</t>
  </si>
  <si>
    <t xml:space="preserve">Ciclo 1</t>
  </si>
  <si>
    <t xml:space="preserve">Ciclo 2</t>
  </si>
  <si>
    <t xml:space="preserve">Ciclo 3</t>
  </si>
  <si>
    <t xml:space="preserve"> UC-Buscar Impressoras 3D</t>
  </si>
  <si>
    <t xml:space="preserve">UC-Realizar Cadastro</t>
  </si>
  <si>
    <t xml:space="preserve">UC-Solicitar Cadastro</t>
  </si>
  <si>
    <t xml:space="preserve">UC-Solicitar pedido de impressao 3D</t>
  </si>
  <si>
    <t xml:space="preserve">UC-Visualizar detalhes</t>
  </si>
  <si>
    <t xml:space="preserve">UC-Manter Serviços de Impressão 3D</t>
  </si>
  <si>
    <t xml:space="preserve">UC-Avaliar Maker</t>
  </si>
  <si>
    <t xml:space="preserve">UC-Aprovar Makers</t>
  </si>
  <si>
    <t xml:space="preserve">UC-Consultar avaliações</t>
  </si>
  <si>
    <t>Totais</t>
  </si>
  <si>
    <t>combo_SimNao</t>
  </si>
  <si>
    <t>Sim</t>
  </si>
  <si>
    <t>Não</t>
  </si>
  <si>
    <t xml:space="preserve">UC-Buscar Impressoras 3D</t>
  </si>
  <si>
    <t xml:space="preserve">Script de Teste:</t>
  </si>
  <si>
    <t xml:space="preserve">Massa de Teste:</t>
  </si>
  <si>
    <t xml:space="preserve">Impressoras cadastradas no sistema com diferentes tecnologias e materiais (utilizado h2 Driver MySQL do springboot)</t>
  </si>
  <si>
    <t>Pré-Condições:</t>
  </si>
  <si>
    <t xml:space="preserve">O sistema deve ter impressoras cadastradas. Não requer login para busca pública.</t>
  </si>
  <si>
    <t xml:space="preserve">Nr. Cenário</t>
  </si>
  <si>
    <t>Descrição</t>
  </si>
  <si>
    <t>Entradas</t>
  </si>
  <si>
    <t xml:space="preserve">Resultado Esperado</t>
  </si>
  <si>
    <t>Problemas/Observações</t>
  </si>
  <si>
    <t xml:space="preserve">Qde. Defeitos</t>
  </si>
  <si>
    <t xml:space="preserve">Qde. Ciclos</t>
  </si>
  <si>
    <t xml:space="preserve">Consultar disponibilidade do material por volume</t>
  </si>
  <si>
    <t xml:space="preserve">Volume: pequeno até 20 cm³</t>
  </si>
  <si>
    <t xml:space="preserve">Abrir modal com informações sobre filamentos e propriedades</t>
  </si>
  <si>
    <t xml:space="preserve">Volume não aplicado a filtragem dos dados obtidos (me traz 2 resultados sendo apenas 1 com valor 20)</t>
  </si>
  <si>
    <t xml:space="preserve">Filtrar impressoras por tecnologia</t>
  </si>
  <si>
    <t xml:space="preserve">Tipo: FDM</t>
  </si>
  <si>
    <t xml:space="preserve">Exibir apenas impressoras FDM na listagem</t>
  </si>
  <si>
    <t xml:space="preserve">não filtrou o tipo de acordo com o valor especificado</t>
  </si>
  <si>
    <t xml:space="preserve">Visualizar detalhes técnicos de uma impressora</t>
  </si>
  <si>
    <t xml:space="preserve">Seleção de uma impressora na lista</t>
  </si>
  <si>
    <t xml:space="preserve">Exibir dados técnicos completos da impressora selecionada</t>
  </si>
  <si>
    <t xml:space="preserve">erro ao chamar api de detalhe da impressora</t>
  </si>
  <si>
    <t xml:space="preserve">Buscar sem informar filtros</t>
  </si>
  <si>
    <t xml:space="preserve">Nenhum filtro preenchido</t>
  </si>
  <si>
    <t xml:space="preserve">O sistema deve listar impressoras disponíveis próximas ou cadastradas conforme regra da aplicação.</t>
  </si>
  <si>
    <t xml:space="preserve">Nenhum problema. O backend listou as impressoras normalmente, processando a ausência de parâmetros.</t>
  </si>
  <si>
    <t xml:space="preserve">Filtrar por tecnologia inexistente</t>
  </si>
  <si>
    <t xml:space="preserve">Tipo: SLA, caso não haja cadastro</t>
  </si>
  <si>
    <t xml:space="preserve">O sistema deve informar que não há impressoras compatíveis com o filtro selecionado. </t>
  </si>
  <si>
    <t xml:space="preserve">Nenhum problema. O filtro funcionou e a API devolveu uma lista vazia [] sem causar erros.</t>
  </si>
  <si>
    <t xml:space="preserve"> Visualizar detalhes sem selecionar impressora</t>
  </si>
  <si>
    <t xml:space="preserve">Nenhuma impressora selecionada</t>
  </si>
  <si>
    <t xml:space="preserve">O sistema deve impedir a ação ou exibir mensagem orientando a selecionar uma impressora. </t>
  </si>
  <si>
    <t xml:space="preserve">Nenhum problema. A API bloqueou a requisição inválida corretamente e devolveu um erro mapeado (404 Not Found).</t>
  </si>
  <si>
    <t xml:space="preserve">Validar retorno com dados incompletos</t>
  </si>
  <si>
    <t xml:space="preserve">Impressora sem material ou volume cadastrado</t>
  </si>
  <si>
    <t xml:space="preserve">O sistema deve tratar a ausência de dados sem quebrar a tela, exibindo mensagem apropriada. </t>
  </si>
  <si>
    <t xml:space="preserve">Tratamento adequado. A API processou os atributos nulos (sem material/tecnologia) e evitou Erro 500 no servidor.</t>
  </si>
  <si>
    <t xml:space="preserve"> Dados válidos (nome, e-mail único, senha ≥ 6 chars, telefone, endereço opcional) e dados inválidos (e-mail duplicado, mal formatado, senha curta, campos obrigatórios em branco)</t>
  </si>
  <si>
    <t xml:space="preserve">Sistema disponível, banco acessível, e-mail não cadastrado previamente</t>
  </si>
  <si>
    <t xml:space="preserve">Cadastro com dados validos e endereco completo</t>
  </si>
  <si>
    <t xml:space="preserve">nome: Joao Silva
email: joao@email.com
senha: senha123
telefone: 11999999999
logradouro: Rua A
numero: 10
cidade: Sao Paulo
estado: SP
cep: 01310-100</t>
  </si>
  <si>
    <t xml:space="preserve">HTTP 201 Created. Retorna id, nome, email, telefone, cidade, estado, latitude e longitude preenchidos. mensagem: Cadastro realizado com sucesso!</t>
  </si>
  <si>
    <t xml:space="preserve">Senha salva em texto puro (sem hash). TODO no codigo: aplicar BCrypt antes de producao.</t>
  </si>
  <si>
    <t xml:space="preserve">Cadastro com dados minimos obrigatorios (sem endereco)</t>
  </si>
  <si>
    <t xml:space="preserve">nome: Maria
email: maria@email.com
senha: abc123
telefone: 11988887777
(demais campos em branco)</t>
  </si>
  <si>
    <t xml:space="preserve">HTTP 201 Created. latitude e longitude nulos. mensagem: Cadastro realizado com sucesso!</t>
  </si>
  <si>
    <t xml:space="preserve">Cadastro com e-mail ja existente no sistema</t>
  </si>
  <si>
    <t xml:space="preserve">email: joao@email.com (ja cadastrado)
nome: Outro Nome
senha: senha123
telefone: 11977776666</t>
  </si>
  <si>
    <t xml:space="preserve">HTTP 400 Bad Request. Mensagem: E-mail ja cadastrado.</t>
  </si>
  <si>
    <t xml:space="preserve">Sem ExceptionHandler mapeado para IllegalArgumentException. Pode retornar HTTP 500 em vez de 400. Verificar configuracao do Spring.</t>
  </si>
  <si>
    <t xml:space="preserve">Cadastro com e-mail em formato invalido</t>
  </si>
  <si>
    <t xml:space="preserve">email: emailsemarroba
nome: Teste
senha: senha123
telefone: 11966665555</t>
  </si>
  <si>
    <t xml:space="preserve">HTTP 400 Bad Request. Mensagem de validacao: E-mail invalido.</t>
  </si>
  <si>
    <t xml:space="preserve">Cadastro com senha menor que 6 caracteres</t>
  </si>
  <si>
    <t xml:space="preserve">nome: Teste
email: novo@email.com
senha: 123
telefone: 11955554444</t>
  </si>
  <si>
    <t xml:space="preserve">HTTP 400 Bad Request. Mensagem: Senha deve ter no minimo 6 caracteres.</t>
  </si>
  <si>
    <t xml:space="preserve">Cadastro com campo nome em branco</t>
  </si>
  <si>
    <t xml:space="preserve">nome: (vazio)
email: teste2@email.com
senha: senha123
telefone: 11944443333</t>
  </si>
  <si>
    <t xml:space="preserve">HTTP 400 Bad Request. Mensagem: Nome e obrigatorio.</t>
  </si>
  <si>
    <t xml:space="preserve">Cadastro com campo telefone em branco</t>
  </si>
  <si>
    <t xml:space="preserve">nome: Teste
email: teste3@email.com
senha: senha123
telefone: (vazio)</t>
  </si>
  <si>
    <t xml:space="preserve">HTTP 400 Bad Request. Mensagem: Telefone e obrigatorio.</t>
  </si>
  <si>
    <t xml:space="preserve">Cadastro com endereco parcial (cidade informada, logradouro ausente)</t>
  </si>
  <si>
    <t xml:space="preserve">nome: Ana
email: ana@email.com
senha: senha123
telefone: 11933332222
cidade: Campinas
estado: SP</t>
  </si>
  <si>
    <t xml:space="preserve">HTTP 201 Created. Sistema tenta geocodificar. Se nao encontrar coordenadas, salva sem latitude/longitude. mensagem: Cadastro realizado com sucesso!</t>
  </si>
  <si>
    <t xml:space="preserve">Geocodificacao falha silenciosamente: usuario nao e notificado na resposta que as coordenadas nao foram salvas. Apenas log interno (warn).</t>
  </si>
  <si>
    <t xml:space="preserve">Cadastro com estado fora do padrao (mais de 2 caracteres)</t>
  </si>
  <si>
    <t xml:space="preserve">estado: Sao Paulo
demais campos validos</t>
  </si>
  <si>
    <t xml:space="preserve">HTTP 400 Bad Request. Mensagem: Estado deve ter 2 caracteres (ex: SP).</t>
  </si>
  <si>
    <t xml:space="preserve">Validacao @Size(min=2, max=2) nao verifica se e uma sigla de estado brasileira valida. Valores como XX passam na validacao.</t>
  </si>
  <si>
    <t xml:space="preserve">Massa de Teste: Dados validos: nome, e-mail unico, senha &gt;= 6 chars, telefone, CPF/CNPJ, logradouro, cidade, estado (2 chars), CEP. Servicos opcionais: nome, preco &gt; 0, tipoId valido, material valido. Dados invalidos: campos obrigatorios em branco, e-mail duplicado, senha curta, estado invalido, preco negativo, tipoId inexistente, material invalido.      </t>
  </si>
  <si>
    <t xml:space="preserve">Pre-Condicoes: Sistema disponivel. Banco de dados acessivel. E-mail nao cadastrado previamente. Tipos de impressao cadastrados no sistema (GET /api/tipos). Materiais cadastrados no sistema.</t>
  </si>
  <si>
    <t xml:space="preserve">Cadastro Maker com dados validos e sem servicos</t>
  </si>
  <si>
    <t xml:space="preserve">nome: Carlos Maker
email: carlos@maker.com
senha: maker123
telefone: 11999990000
documento: 123.456.789-00
logradouro: Rua B
numero: 50
cidade: Sao Paulo
estado: SP
cep: 01310-200</t>
  </si>
  <si>
    <t xml:space="preserve">HTTP 201 Created. Retorna id, nome, email, telefone, cidade, estado, latitude, longitude, statusAprovacao: true, totalServicos: 0. mensagem: Cadastro realizado com sucesso!</t>
  </si>
  <si>
    <t xml:space="preserve">Senha salva em texto puro. TODO no codigo: aplicar BCrypt antes de producao.</t>
  </si>
  <si>
    <t xml:space="preserve">Cadastro Maker com dados validos e 1 servico de impressao</t>
  </si>
  <si>
    <t xml:space="preserve">Dados do Maker validos +
servicos[0].nome: Impressao FDM
servicos[0].precoBase: 80.0
servicos[0].tipoId: 1 (Filamento)
servicos[0].material: PLA
servicos[0].suportaPrototipos: true</t>
  </si>
  <si>
    <t xml:space="preserve">HTTP 201 Created. totalServicos: 1. mensagem: Cadastro realizado com sucesso! 1 servico(s) cadastrado(s).</t>
  </si>
  <si>
    <t xml:space="preserve">Cadastro Maker com e-mail ja existente</t>
  </si>
  <si>
    <t xml:space="preserve">email: carlos@maker.com (ja cadastrado)
demais campos validos</t>
  </si>
  <si>
    <t xml:space="preserve">HTTP 409 Conflict. Mensagem: E-mail ja cadastrado.</t>
  </si>
  <si>
    <t xml:space="preserve">GlobalExceptionHandler mapeia IllegalArgumentException para HTTP 409. Diferente do UC de Cliente que retornava 400. Verificar padronizacao entre os casos de uso.</t>
  </si>
  <si>
    <t xml:space="preserve">Cadastro Maker sem campo obrigatorio (logradouro em branco)</t>
  </si>
  <si>
    <t xml:space="preserve">logradouro: (vazio)
demais campos validos</t>
  </si>
  <si>
    <t xml:space="preserve">HTTP 400 Bad Request. Mensagem: Logradouro e obrigatorio.</t>
  </si>
  <si>
    <t xml:space="preserve">Diferente do cadastro de Cliente, o Maker exige logradouro como campo obrigatorio.</t>
  </si>
  <si>
    <t xml:space="preserve">Cadastro Maker sem CPF/CNPJ</t>
  </si>
  <si>
    <t xml:space="preserve">documentoCpfCnpj: (vazio)
demais campos validos</t>
  </si>
  <si>
    <t xml:space="preserve">HTTP 400 Bad Request. Mensagem: CPF ou CNPJ e obrigatorio.</t>
  </si>
  <si>
    <t xml:space="preserve">Cadastro Maker com senha menor que 6 caracteres</t>
  </si>
  <si>
    <t xml:space="preserve">senha: 123
demais campos validos</t>
  </si>
  <si>
    <t xml:space="preserve">Cadastro Maker com estado invalido (mais de 2 chars)</t>
  </si>
  <si>
    <t xml:space="preserve">Cadastro Maker com servico com preco negativo</t>
  </si>
  <si>
    <t xml:space="preserve">Dados do Maker validos +
servicos[0].nome: Servico Teste
servicos[0].precoBase: -10.0</t>
  </si>
  <si>
    <t xml:space="preserve">HTTP 400 Bad Request. Mensagem: Preco base deve ser maior que zero.</t>
  </si>
  <si>
    <t xml:space="preserve">Cadastro Maker com servico com tipoId inexistente</t>
  </si>
  <si>
    <t xml:space="preserve">Dados do Maker validos +
servicos[0].nome: Servico Teste
servicos[0].precoBase: 50.0
servicos[0].tipoId: 9999</t>
  </si>
  <si>
    <t xml:space="preserve">HTTP 400 Bad Request. Mensagem: Tipo de impressao nao encontrado: id=9999.</t>
  </si>
  <si>
    <t xml:space="preserve">Cadastro Maker com servico com material invalido</t>
  </si>
  <si>
    <t xml:space="preserve">Dados do Maker validos +
servicos[0].nome: Servico Teste
servicos[0].precoBase: 50.0
servicos[0].material: XPTO</t>
  </si>
  <si>
    <t xml:space="preserve">HTTP 400 Bad Request. Mensagem: Material invalido: XPTO.</t>
  </si>
  <si>
    <t xml:space="preserve">Cadastro Maker com endereco valido e geocodificacao bem-sucedida</t>
  </si>
  <si>
    <t xml:space="preserve">Dados do Maker validos com endereco completo e reconhecivel pelo Nominatim</t>
  </si>
  <si>
    <t xml:space="preserve">HTTP 201 Created. latitude e longitude preenchidos com coordenadas reais.</t>
  </si>
  <si>
    <t xml:space="preserve">Depende da disponibilidade da API Nominatim (servico externo). Teste pode falhar em ambiente sem acesso a internet.</t>
  </si>
  <si>
    <t xml:space="preserve">Cadastro Maker com endereco valido mas geocodificacao falha (Nominatim indisponivel)</t>
  </si>
  <si>
    <t xml:space="preserve">Dados do Maker validos. Nominatim simulado como indisponivel (mock).</t>
  </si>
  <si>
    <t xml:space="preserve">HTTP 201 Created. latitude e longitude nulos. Cadastro salvo normalmente.</t>
  </si>
  <si>
    <t xml:space="preserve">Falha silenciosa: usuario nao e notificado que as coordenadas nao foram salvas. Apenas log interno (warn).</t>
  </si>
  <si>
    <t xml:space="preserve">Cliente autenticado (header X-Cliente-Id valido). Servico de impressao cadastrado (servicoId valido). TipoPedido: COM_MODELO (requer arquivo3D) ou SEM_MODELO (requer descricaoNecessidade). Quantidade &gt;= 1. Dados invalidos: clienteId ausente, clienteId de Maker, servicoId inexistente, tipoPedido nulo, quantidade zero.</t>
  </si>
  <si>
    <t xml:space="preserve">Sistema disponivel. Cliente cadastrado com perfil CLIENTE. Servico de impressao existente no banco. Header X-Cliente-Id enviado na requisicao.</t>
  </si>
  <si>
    <t xml:space="preserve">Pedido COM_MODELO com arquivo 3D informado</t>
  </si>
  <si>
    <t xml:space="preserve">X-Cliente-Id: 1 (CLIENTE)
servicoid: 1
tipoPedido: COM_MODELO
arquivo3D: peca.stl
material: PLA
quantidade: 2
observacoes: Imprimir em alta resolucao</t>
  </si>
  <si>
    <t xml:space="preserve">HTTP 201 Created. status: AGUARDANDO_ANALISE. mensagem: Pedido solicitado com sucesso! Aguarde a analise do Maker.</t>
  </si>
  <si>
    <t xml:space="preserve">Pedido SEM_MODELO com descricao da necessidade</t>
  </si>
  <si>
    <t xml:space="preserve">X-Cliente-Id: 1 (CLIENTE)
servicoid: 1
tipoPedido: SEM_MODELO
descricaoNecessidade: Preciso de um suporte para monitor
quantidade: 1</t>
  </si>
  <si>
    <t xml:space="preserve">Pedido sem header X-Cliente-Id</t>
  </si>
  <si>
    <t xml:space="preserve">Header X-Cliente-Id: ausente
servicoid: 1
tipoPedido: COM_MODELO
arquivo3D: peca.stl</t>
  </si>
  <si>
    <t xml:space="preserve">HTTP 409 Conflict. Mensagem: Usuario nao autenticado. Identificador do cliente (X-Cliente-Id) ausente.</t>
  </si>
  <si>
    <t xml:space="preserve">Autenticacao feita via header customizado X-Cliente-Id, sem uso de token JWT. Abordagem fragil para producao — qualquer clienteId pode ser informado sem validacao de sessao.</t>
  </si>
  <si>
    <t xml:space="preserve">Pedido com clienteId de usuario com perfil MAKER</t>
  </si>
  <si>
    <t xml:space="preserve">X-Cliente-Id: 2 (MAKER)
servicoid: 1
tipoPedido: COM_MODELO
arquivo3D: peca.stl</t>
  </si>
  <si>
    <t xml:space="preserve">HTTP 422 Unprocessable Entity. Mensagem: Somente usuarios com perfil de CLIENTE podem solicitar pedidos.</t>
  </si>
  <si>
    <t xml:space="preserve">Pedido com servicoId inexistente</t>
  </si>
  <si>
    <t xml:space="preserve">X-Cliente-Id: 1 (CLIENTE)
servicoid: 9999
tipoPedido: COM_MODELO
arquivo3D: peca.stl</t>
  </si>
  <si>
    <t xml:space="preserve">HTTP 422 Unprocessable Entity. Mensagem: Servico de impressao nao encontrado.</t>
  </si>
  <si>
    <t xml:space="preserve">Pedido sem tipoPedido (campo obrigatorio nulo)</t>
  </si>
  <si>
    <t xml:space="preserve">X-Cliente-Id: 1 (CLIENTE)
servicoid: 1
tipoPedido: null</t>
  </si>
  <si>
    <t xml:space="preserve">HTTP 400 Bad Request. Mensagem: O tipo do pedido e obrigatorio.</t>
  </si>
  <si>
    <t xml:space="preserve">Pedido sem servicoId (campo obrigatorio nulo)</t>
  </si>
  <si>
    <t xml:space="preserve">X-Cliente-Id: 1 (CLIENTE)
servicoid: null
tipoPedido: COM_MODELO</t>
  </si>
  <si>
    <t xml:space="preserve">HTTP 400 Bad Request. Mensagem: O ID do servico de impressao e obrigatorio.</t>
  </si>
  <si>
    <t xml:space="preserve">Pedido com quantidade zero</t>
  </si>
  <si>
    <t xml:space="preserve">X-Cliente-Id: 1 (CLIENTE)
servicoid: 1
tipoPedido: COM_MODELO
arquivo3D: peca.stl
quantidade: 0</t>
  </si>
  <si>
    <t xml:space="preserve">HTTP 400 Bad Request. Mensagem: A quantidade deve ser no minimo 1.</t>
  </si>
  <si>
    <t xml:space="preserve">Pedido COM_MODELO sem arquivo3D informado</t>
  </si>
  <si>
    <t xml:space="preserve">X-Cliente-Id: 1 (CLIENTE)
servicoid: 1
tipoPedido: COM_MODELO
arquivo3D: (vazio)
quantidade: 1</t>
  </si>
  <si>
    <t xml:space="preserve">HTTP 201 Created. Pedido salvo sem arquivo3D.</t>
  </si>
  <si>
    <t xml:space="preserve">Nao ha validacao no backend que exija arquivo3D quando tipoPedido = COM_MODELO. Campo fica nulo sem erro. Considerar adicionar validacao condicional.</t>
  </si>
  <si>
    <t xml:space="preserve">Pedido SEM_MODELO sem descricaoNecessidade</t>
  </si>
  <si>
    <t xml:space="preserve">X-Cliente-Id: 1 (CLIENTE)
servicoid: 1
tipoPedido: SEM_MODELO
descricaoNecessidade: (vazio)
quantidade: 1</t>
  </si>
  <si>
    <t xml:space="preserve">HTTP 201 Created. Pedido salvo sem descricaoNecessidade.</t>
  </si>
  <si>
    <t xml:space="preserve">Nao ha validacao que exija descricaoNecessidade quando tipoPedido = SEM_MODELO. Maker recebe pedido sem informacao suficiente para analisar. Considerar adicionar validacao condicional.</t>
  </si>
  <si>
    <t xml:space="preserve">Listar pedidos de cliente autenticado</t>
  </si>
  <si>
    <t xml:space="preserve">GET /api/pedidos
X-Cliente-Id: 1 (CLIENTE com pedidos cadastrados)</t>
  </si>
  <si>
    <t xml:space="preserve">HTTP 200 OK. Retorna lista com id, status, tipoPedido, dataPedido, servicoNome, makerNome de cada pedido.</t>
  </si>
  <si>
    <t xml:space="preserve">Listar pedidos com clienteId inexistente</t>
  </si>
  <si>
    <t xml:space="preserve">GET /api/pedidos
X-Cliente-Id: 9999</t>
  </si>
  <si>
    <t xml:space="preserve">HTTP 422 Unprocessable Entity. Mensagem: Cliente nao encontrado.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</si>
</sst>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6">
    <font>
      <sz val="11.000000"/>
      <color theme="1"/>
      <name val="Calibri"/>
      <scheme val="minor"/>
    </font>
    <font>
      <sz val="11.000000"/>
      <color theme="1"/>
      <name val="Arial"/>
    </font>
    <font>
      <b/>
      <sz val="14.000000"/>
      <color theme="0"/>
      <name val="Arial"/>
    </font>
    <font>
      <b/>
      <sz val="10.000000"/>
      <color theme="0"/>
      <name val="Arial"/>
    </font>
    <font>
      <sz val="10.000000"/>
      <color theme="1"/>
      <name val="Arial"/>
    </font>
    <font>
      <b/>
      <sz val="11.000000"/>
      <color theme="1"/>
      <name val="Arial"/>
    </font>
    <font>
      <sz val="11.000000"/>
      <color theme="1"/>
      <name val="Calibri"/>
    </font>
    <font>
      <b/>
      <sz val="14.000000"/>
      <color theme="1"/>
      <name val="Arial"/>
    </font>
    <font>
      <b/>
      <sz val="11.000000"/>
      <color theme="0"/>
      <name val="Arial"/>
    </font>
    <font>
      <b/>
      <sz val="11.000000"/>
      <color indexed="65"/>
      <name val="Arial"/>
    </font>
    <font>
      <sz val="11.000000"/>
      <color indexed="2"/>
      <name val="Arial"/>
    </font>
    <font>
      <sz val="11.000000"/>
      <color indexed="49"/>
      <name val="Arial"/>
    </font>
    <font>
      <sz val="11.000000"/>
      <color indexed="2"/>
      <name val="Calibri"/>
    </font>
    <font>
      <sz val="11.000000"/>
    </font>
    <font>
      <sz val="11.000000"/>
      <color indexed="2"/>
    </font>
    <font>
      <sz val="11.000000"/>
      <color indexed="64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F2F2F2"/>
      </patternFill>
    </fill>
  </fills>
  <borders count="2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hair">
        <color auto="1"/>
      </left>
      <right style="hair">
        <color auto="1"/>
      </right>
      <top style="hair">
        <color auto="1"/>
      </top>
      <bottom style="none"/>
      <diagonal style="none"/>
    </border>
    <border>
      <left style="none"/>
      <right style="none"/>
      <top style="hair">
        <color auto="1"/>
      </top>
      <bottom style="none"/>
      <diagonal style="none"/>
    </border>
    <border>
      <left style="none"/>
      <right style="hair">
        <color auto="1"/>
      </right>
      <top style="hair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6">
    <xf fontId="0" fillId="0" borderId="0" numFmtId="0" xfId="0" quotePrefix="0" pivotButton="0"/>
    <xf fontId="1" fillId="0" borderId="0" numFmtId="0" xfId="0" applyFont="1" quotePrefix="0" pivotButton="0"/>
    <xf fontId="1" fillId="0" borderId="0" numFmtId="0" xfId="0" applyFont="1" applyAlignment="1" quotePrefix="0" pivotButton="0">
      <alignment horizontal="center"/>
    </xf>
    <xf fontId="1" fillId="0" borderId="1" numFmtId="0" xfId="0" applyFont="1" applyBorder="1" quotePrefix="0" pivotButton="0"/>
    <xf fontId="2" fillId="2" borderId="2" numFmtId="0" xfId="0" applyFont="1" applyFill="1" applyBorder="1" applyAlignment="1" quotePrefix="0" pivotButton="0">
      <alignment horizontal="center" vertical="center"/>
    </xf>
    <xf fontId="0" fillId="0" borderId="3" numFmtId="0" xfId="0" applyBorder="1" quotePrefix="0" pivotButton="0"/>
    <xf fontId="0" fillId="0" borderId="4" numFmtId="0" xfId="0" applyBorder="1" quotePrefix="0" pivotButton="0"/>
    <xf fontId="1" fillId="0" borderId="5" numFmtId="0" xfId="0" applyFont="1" applyBorder="1" quotePrefix="0" pivotButton="0"/>
    <xf fontId="1" fillId="0" borderId="6" numFmtId="0" xfId="0" applyFont="1" applyBorder="1" quotePrefix="0" pivotButton="0"/>
    <xf fontId="3" fillId="2" borderId="7" numFmtId="0" xfId="0" applyFont="1" applyFill="1" applyBorder="1" applyAlignment="1" quotePrefix="0" pivotButton="0">
      <alignment horizontal="center"/>
    </xf>
    <xf fontId="4" fillId="0" borderId="7" numFmtId="0" xfId="0" applyFont="1" applyBorder="1" quotePrefix="0" pivotButton="0"/>
    <xf fontId="4" fillId="0" borderId="7" numFmtId="0" xfId="0" applyFont="1" applyBorder="1" applyAlignment="1" quotePrefix="0" pivotButton="0">
      <alignment horizontal="center"/>
    </xf>
    <xf fontId="1" fillId="0" borderId="7" numFmtId="0" xfId="0" applyFont="1" applyBorder="1" applyAlignment="1" quotePrefix="0" pivotButton="0">
      <alignment horizontal="center"/>
    </xf>
    <xf fontId="3" fillId="2" borderId="7" numFmtId="0" xfId="0" applyFont="1" applyFill="1" applyBorder="1" quotePrefix="0" pivotButton="0"/>
    <xf fontId="3" fillId="2" borderId="8" numFmtId="0" xfId="0" applyFont="1" applyFill="1" applyBorder="1" quotePrefix="0" pivotButton="0"/>
    <xf fontId="3" fillId="2" borderId="9" numFmtId="0" xfId="0" applyFont="1" applyFill="1" applyBorder="1" quotePrefix="0" pivotButton="0"/>
    <xf fontId="5" fillId="0" borderId="0" numFmtId="0" xfId="0" applyFont="1" quotePrefix="0" pivotButton="0"/>
    <xf fontId="1" fillId="0" borderId="10" numFmtId="0" xfId="0" applyFont="1" applyBorder="1" quotePrefix="0" pivotButton="0"/>
    <xf fontId="1" fillId="0" borderId="11" numFmtId="0" xfId="0" applyFont="1" applyBorder="1" quotePrefix="0" pivotButton="0"/>
    <xf fontId="1" fillId="0" borderId="12" numFmtId="0" xfId="0" applyFont="1" applyBorder="1" quotePrefix="0" pivotButton="0"/>
    <xf fontId="6" fillId="0" borderId="0" numFmtId="0" xfId="0" applyFont="1" quotePrefix="0" pivotButton="0"/>
    <xf fontId="2" fillId="2" borderId="13" numFmtId="0" xfId="0" applyFont="1" applyFill="1" applyBorder="1" applyAlignment="1" quotePrefix="0" pivotButton="0">
      <alignment horizontal="center" wrapText="1"/>
    </xf>
    <xf fontId="0" fillId="0" borderId="14" numFmtId="0" xfId="0" applyBorder="1" quotePrefix="0" pivotButton="0"/>
    <xf fontId="0" fillId="0" borderId="15" numFmtId="0" xfId="0" applyBorder="1" quotePrefix="0" pivotButton="0"/>
    <xf fontId="1" fillId="0" borderId="0" numFmtId="0" xfId="0" applyFont="1" applyAlignment="1" quotePrefix="0" pivotButton="0">
      <alignment wrapText="1"/>
    </xf>
    <xf fontId="7" fillId="3" borderId="7" numFmtId="0" xfId="0" applyFont="1" applyFill="1" applyBorder="1" applyAlignment="1" quotePrefix="0" pivotButton="0">
      <alignment horizontal="center" wrapText="1"/>
    </xf>
    <xf fontId="0" fillId="0" borderId="8" numFmtId="0" xfId="0" applyBorder="1" quotePrefix="0" pivotButton="0"/>
    <xf fontId="0" fillId="0" borderId="9" numFmtId="0" xfId="0" applyBorder="1" quotePrefix="0" pivotButton="0"/>
    <xf fontId="5" fillId="3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horizontal="left" wrapText="1"/>
    </xf>
    <xf fontId="1" fillId="4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vertical="center"/>
    </xf>
    <xf fontId="1" fillId="4" borderId="7" numFmtId="0" xfId="0" applyFont="1" applyFill="1" applyBorder="1" applyAlignment="1" quotePrefix="0" pivotButton="0">
      <alignment vertical="center"/>
    </xf>
    <xf fontId="9" fillId="2" borderId="7" numFmtId="0" xfId="0" applyFont="1" applyFill="1" applyBorder="1" applyAlignment="1" quotePrefix="0" pivotButton="0">
      <alignment horizontal="center" wrapText="1"/>
    </xf>
    <xf fontId="8" fillId="2" borderId="0" numFmtId="0" xfId="0" applyFont="1" applyFill="1" applyAlignment="1" quotePrefix="0" pivotButton="0">
      <alignment horizontal="center" wrapText="1"/>
    </xf>
    <xf fontId="1" fillId="0" borderId="16" numFmtId="0" xfId="0" applyFont="1" applyBorder="1" applyAlignment="1" quotePrefix="0" pivotButton="0">
      <alignment horizontal="center" wrapText="1"/>
    </xf>
    <xf fontId="1" fillId="0" borderId="17" numFmtId="0" xfId="0" applyFont="1" applyBorder="1" applyAlignment="1" quotePrefix="0" pivotButton="0">
      <alignment wrapText="1"/>
    </xf>
    <xf fontId="10" fillId="4" borderId="7" numFmtId="0" xfId="0" applyFont="1" applyFill="1" applyBorder="1" applyAlignment="1" quotePrefix="0" pivotButton="0">
      <alignment horizontal="center" vertical="center" wrapText="1"/>
    </xf>
    <xf fontId="11" fillId="0" borderId="0" numFmtId="0" xfId="0" applyFont="1" applyAlignment="1" quotePrefix="0" pivotButton="0">
      <alignment wrapText="1"/>
    </xf>
    <xf fontId="1" fillId="0" borderId="18" numFmtId="0" xfId="0" applyFont="1" applyBorder="1" applyAlignment="1" quotePrefix="0" pivotButton="0">
      <alignment horizontal="center" wrapText="1"/>
    </xf>
    <xf fontId="1" fillId="0" borderId="7" numFmtId="0" xfId="0" applyFont="1" applyBorder="1" applyAlignment="1" quotePrefix="0" pivotButton="0">
      <alignment wrapText="1"/>
    </xf>
    <xf fontId="12" fillId="4" borderId="7" numFmtId="0" xfId="0" applyFont="1" applyFill="1" applyBorder="1" applyAlignment="1" quotePrefix="0" pivotButton="0">
      <alignment horizontal="center" vertical="center"/>
    </xf>
    <xf fontId="8" fillId="2" borderId="19" numFmtId="0" xfId="0" applyFont="1" applyFill="1" applyBorder="1" applyAlignment="1" quotePrefix="0" pivotButton="0">
      <alignment horizontal="center" wrapText="1"/>
    </xf>
    <xf fontId="13" fillId="5" borderId="20" numFmtId="0" xfId="0" applyFont="1" applyFill="1" applyBorder="1" applyAlignment="1" quotePrefix="0" pivotButton="0">
      <alignment horizontal="center" vertical="center" wrapText="1"/>
    </xf>
    <xf fontId="13" fillId="5" borderId="20" numFmtId="0" xfId="0" applyFont="1" applyFill="1" applyBorder="1" applyAlignment="1" quotePrefix="0" pivotButton="0">
      <alignment horizontal="left" vertical="center" wrapText="1"/>
    </xf>
    <xf fontId="14" fillId="5" borderId="20" numFmtId="0" xfId="0" applyFont="1" applyFill="1" applyBorder="1" applyAlignment="1" quotePrefix="0" pivotButton="0">
      <alignment horizontal="left" vertical="center" wrapText="1"/>
    </xf>
    <xf fontId="14" fillId="5" borderId="20" numFmtId="0" xfId="0" applyFont="1" applyFill="1" applyBorder="1" applyAlignment="1" quotePrefix="0" pivotButton="0">
      <alignment horizontal="center" vertical="center" wrapText="1"/>
    </xf>
    <xf fontId="13" fillId="6" borderId="20" numFmtId="0" xfId="0" applyFont="1" applyFill="1" applyBorder="1" applyAlignment="1" quotePrefix="0" pivotButton="0">
      <alignment horizontal="center" vertical="center" wrapText="1"/>
    </xf>
    <xf fontId="13" fillId="6" borderId="20" numFmtId="0" xfId="0" applyFont="1" applyFill="1" applyBorder="1" applyAlignment="1" quotePrefix="0" pivotButton="0">
      <alignment horizontal="left" vertical="center" wrapText="1"/>
    </xf>
    <xf fontId="14" fillId="6" borderId="20" numFmtId="0" xfId="0" applyFont="1" applyFill="1" applyBorder="1" applyAlignment="1" quotePrefix="0" pivotButton="0">
      <alignment horizontal="left" vertical="center" wrapText="1"/>
    </xf>
    <xf fontId="14" fillId="6" borderId="20" numFmtId="0" xfId="0" applyFont="1" applyFill="1" applyBorder="1" applyAlignment="1" quotePrefix="0" pivotButton="0">
      <alignment horizontal="center" vertical="center" wrapText="1"/>
    </xf>
    <xf fontId="15" fillId="5" borderId="20" numFmtId="0" xfId="0" applyFont="1" applyFill="1" applyBorder="1" applyAlignment="1" quotePrefix="0" pivotButton="0">
      <alignment horizontal="center" vertical="center" wrapText="1"/>
    </xf>
    <xf fontId="15" fillId="5" borderId="20" numFmtId="0" xfId="0" applyFont="1" applyFill="1" applyBorder="1" applyAlignment="1" quotePrefix="0" pivotButton="0">
      <alignment horizontal="left" vertical="center" wrapText="1"/>
    </xf>
    <xf fontId="15" fillId="6" borderId="20" numFmtId="0" xfId="0" applyFont="1" applyFill="1" applyBorder="1" applyAlignment="1" quotePrefix="0" pivotButton="0">
      <alignment horizontal="center" vertical="center" wrapText="1"/>
    </xf>
    <xf fontId="15" fillId="6" borderId="20" numFmtId="0" xfId="0" applyFont="1" applyFill="1" applyBorder="1" applyAlignment="1" quotePrefix="0" pivotButton="0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D8" activeCellId="0" sqref="D8"/>
    </sheetView>
  </sheetViews>
  <sheetFormatPr baseColWidth="8" defaultColWidth="14.42578125" defaultRowHeight="15" customHeight="1"/>
  <cols>
    <col customWidth="1" min="1" max="1" width="2.28515625"/>
    <col customWidth="1" min="2" max="2" width="4.28515625"/>
    <col customWidth="1" min="3" max="3" width="32.5703125"/>
    <col customWidth="1" min="4" max="4" width="17.28515625"/>
    <col customWidth="1" min="5" max="5" width="10.5703125"/>
    <col customWidth="1" min="6" max="6" width="11.28515625"/>
    <col customWidth="1" min="7" max="7" width="10.28515625"/>
    <col customWidth="1" min="8" max="8" width="9"/>
    <col customWidth="1" min="9" max="9" width="9.42578125"/>
    <col customWidth="1" min="10" max="26" width="9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7</v>
      </c>
      <c r="E5" s="1"/>
      <c r="F5" s="12">
        <v>3</v>
      </c>
      <c r="G5" s="12">
        <v>2</v>
      </c>
      <c r="H5" s="12">
        <v>2</v>
      </c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0" t="s">
        <v>8</v>
      </c>
      <c r="D6" s="11">
        <v>9</v>
      </c>
      <c r="E6" s="1"/>
      <c r="F6" s="12">
        <v>1</v>
      </c>
      <c r="G6" s="12">
        <v>3</v>
      </c>
      <c r="H6" s="12">
        <v>0</v>
      </c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0" t="s">
        <v>9</v>
      </c>
      <c r="D7" s="11">
        <v>12</v>
      </c>
      <c r="E7" s="1"/>
      <c r="F7" s="12">
        <v>0</v>
      </c>
      <c r="G7" s="12">
        <v>1</v>
      </c>
      <c r="H7" s="12">
        <v>3</v>
      </c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0" t="s">
        <v>10</v>
      </c>
      <c r="D8" s="11">
        <v>12</v>
      </c>
      <c r="E8" s="1"/>
      <c r="F8" s="12">
        <v>0</v>
      </c>
      <c r="G8" s="12">
        <v>0</v>
      </c>
      <c r="H8" s="12">
        <v>0</v>
      </c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0" t="s">
        <v>11</v>
      </c>
      <c r="D9" s="11"/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0" t="s">
        <v>12</v>
      </c>
      <c r="D10" s="11"/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0" t="s">
        <v>13</v>
      </c>
      <c r="D11" s="11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0" t="s">
        <v>14</v>
      </c>
      <c r="D12" s="11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0" t="s">
        <v>15</v>
      </c>
      <c r="D13" s="11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0"/>
      <c r="D14" s="11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0"/>
      <c r="D15" s="11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0"/>
      <c r="D16" s="11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0"/>
      <c r="D17" s="11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0"/>
      <c r="D18" s="11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0"/>
      <c r="D19" s="11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3" t="s">
        <v>16</v>
      </c>
      <c r="D20" s="13"/>
      <c r="E20" s="1"/>
      <c r="F20" s="14"/>
      <c r="G20" s="14"/>
      <c r="H20" s="15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1">
        <f>COUNTA(C5:C19)</f>
        <v>9</v>
      </c>
      <c r="D21" s="11">
        <f>SUM(D5:D19)</f>
        <v>40</v>
      </c>
      <c r="E21" s="1"/>
      <c r="F21" s="11">
        <f>SUM(F5:F19)</f>
        <v>4</v>
      </c>
      <c r="G21" s="11">
        <f>SUM(G5:G19)</f>
        <v>6</v>
      </c>
      <c r="H21" s="11">
        <f>SUM(H5:H19)</f>
        <v>5</v>
      </c>
      <c r="I21" s="16">
        <f>SUM(F21:H21)</f>
        <v>15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7"/>
      <c r="C22" s="18"/>
      <c r="D22" s="18"/>
      <c r="E22" s="18"/>
      <c r="F22" s="18"/>
      <c r="G22" s="18"/>
      <c r="H22" s="18"/>
      <c r="I22" s="18"/>
      <c r="J22" s="18"/>
      <c r="K22" s="18"/>
      <c r="L22" s="1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customWidth="1" min="1" max="1" width="14"/>
    <col customWidth="1" min="2" max="2" width="12"/>
    <col customWidth="1" min="3" max="26" width="8.7109375"/>
  </cols>
  <sheetData>
    <row r="1">
      <c r="A1" s="20" t="s">
        <v>17</v>
      </c>
    </row>
    <row r="2">
      <c r="A2" s="20" t="s">
        <v>18</v>
      </c>
    </row>
    <row r="3">
      <c r="A3" s="20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7" topLeftCell="A8" activePane="bottomLeft" state="frozen"/>
      <selection activeCell="B9" activeCellId="0" sqref="B9"/>
    </sheetView>
  </sheetViews>
  <sheetFormatPr baseColWidth="8" defaultColWidth="14.42578125" defaultRowHeight="15" customHeight="1"/>
  <cols>
    <col customWidth="1" min="1" max="1" width="17.85546875"/>
    <col customWidth="1" min="2" max="3" width="82.7109375"/>
    <col customWidth="1" min="4" max="4" width="29"/>
    <col customWidth="1" min="5" max="5" width="38.7109375"/>
    <col customWidth="1" min="6" max="7" width="15.14062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7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20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 t="s">
        <v>19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 t="s">
        <v>23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33" t="s">
        <v>25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31" t="s">
        <v>26</v>
      </c>
      <c r="B8" s="31" t="s">
        <v>27</v>
      </c>
      <c r="C8" s="31" t="s">
        <v>28</v>
      </c>
      <c r="D8" s="34" t="s">
        <v>29</v>
      </c>
      <c r="E8" s="31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36">
        <v>1</v>
      </c>
      <c r="B9" s="37" t="s">
        <v>33</v>
      </c>
      <c r="C9" s="37" t="s">
        <v>34</v>
      </c>
      <c r="D9" s="37" t="s">
        <v>35</v>
      </c>
      <c r="E9" s="38" t="s">
        <v>36</v>
      </c>
      <c r="F9" s="38">
        <v>2</v>
      </c>
      <c r="G9" s="38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40">
        <v>2</v>
      </c>
      <c r="B10" s="41" t="s">
        <v>37</v>
      </c>
      <c r="C10" s="41" t="s">
        <v>38</v>
      </c>
      <c r="D10" s="41" t="s">
        <v>39</v>
      </c>
      <c r="E10" s="38" t="s">
        <v>40</v>
      </c>
      <c r="F10" s="38">
        <v>1</v>
      </c>
      <c r="G10" s="38">
        <v>2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40">
        <v>3</v>
      </c>
      <c r="B11" s="41" t="s">
        <v>41</v>
      </c>
      <c r="C11" s="41" t="s">
        <v>42</v>
      </c>
      <c r="D11" s="41" t="s">
        <v>43</v>
      </c>
      <c r="E11" s="42" t="s">
        <v>44</v>
      </c>
      <c r="F11" s="42">
        <v>2</v>
      </c>
      <c r="G11" s="42">
        <v>1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40">
        <v>4</v>
      </c>
      <c r="B12" s="41" t="s">
        <v>45</v>
      </c>
      <c r="C12" s="41" t="s">
        <v>46</v>
      </c>
      <c r="D12" s="41" t="s">
        <v>47</v>
      </c>
      <c r="E12" s="38" t="s">
        <v>48</v>
      </c>
      <c r="F12" s="38">
        <v>0</v>
      </c>
      <c r="G12" s="38">
        <v>1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40">
        <v>5</v>
      </c>
      <c r="B13" s="41" t="s">
        <v>49</v>
      </c>
      <c r="C13" s="41" t="s">
        <v>50</v>
      </c>
      <c r="D13" s="41" t="s">
        <v>51</v>
      </c>
      <c r="E13" s="38" t="s">
        <v>52</v>
      </c>
      <c r="F13" s="38">
        <v>0</v>
      </c>
      <c r="G13" s="38">
        <v>1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36">
        <v>6</v>
      </c>
      <c r="B14" s="37" t="s">
        <v>53</v>
      </c>
      <c r="C14" s="37" t="s">
        <v>54</v>
      </c>
      <c r="D14" s="37" t="s">
        <v>55</v>
      </c>
      <c r="E14" s="38" t="s">
        <v>56</v>
      </c>
      <c r="F14" s="38">
        <v>0</v>
      </c>
      <c r="G14" s="38">
        <v>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40">
        <v>7</v>
      </c>
      <c r="B15" s="41" t="s">
        <v>57</v>
      </c>
      <c r="C15" s="41" t="s">
        <v>58</v>
      </c>
      <c r="D15" s="41" t="s">
        <v>59</v>
      </c>
      <c r="E15" s="38" t="s">
        <v>60</v>
      </c>
      <c r="F15" s="38">
        <v>0</v>
      </c>
      <c r="G15" s="38">
        <v>1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40">
        <v>8</v>
      </c>
      <c r="B16" s="41"/>
      <c r="C16" s="41"/>
      <c r="D16" s="41"/>
      <c r="E16" s="42"/>
      <c r="F16" s="42"/>
      <c r="G16" s="42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40">
        <v>9</v>
      </c>
      <c r="B17" s="41"/>
      <c r="C17" s="41"/>
      <c r="D17" s="41"/>
      <c r="E17" s="38"/>
      <c r="F17" s="38"/>
      <c r="G17" s="38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40">
        <v>10</v>
      </c>
      <c r="B18" s="41"/>
      <c r="C18" s="41"/>
      <c r="D18" s="41"/>
      <c r="E18" s="38"/>
      <c r="F18" s="38"/>
      <c r="G18" s="38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36">
        <v>11</v>
      </c>
      <c r="B19" s="37"/>
      <c r="C19" s="37"/>
      <c r="D19" s="37"/>
      <c r="E19" s="38"/>
      <c r="F19" s="38"/>
      <c r="G19" s="38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  <row r="999" ht="14.2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</row>
    <row r="1000" ht="14.2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</row>
  </sheetData>
  <mergeCells count="4">
    <mergeCell ref="A1:C1"/>
    <mergeCell ref="A3:C3"/>
    <mergeCell ref="A2:C2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7" topLeftCell="A8" activePane="bottomLeft" state="frozen"/>
      <selection activeCell="B9" activeCellId="0" sqref="B9"/>
    </sheetView>
  </sheetViews>
  <sheetFormatPr baseColWidth="8" defaultColWidth="14.42578125" defaultRowHeight="15" customHeight="1"/>
  <cols>
    <col customWidth="1" min="1" max="1" width="17.85546875"/>
    <col customWidth="1" min="2" max="2" width="39.140625"/>
    <col customWidth="1" min="3" max="3" width="65.00390625"/>
    <col customWidth="1" min="4" max="4" width="28.5703125"/>
    <col customWidth="1" min="5" max="5" width="38.7109375"/>
    <col customWidth="1" min="6" max="6" width="15.140625"/>
    <col customWidth="1" min="7" max="7" width="12.710937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9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8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 t="s">
        <v>19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 t="s">
        <v>61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33" t="s">
        <v>62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43" t="s">
        <v>26</v>
      </c>
      <c r="B8" s="43" t="s">
        <v>27</v>
      </c>
      <c r="C8" s="43" t="s">
        <v>28</v>
      </c>
      <c r="D8" s="43" t="s">
        <v>29</v>
      </c>
      <c r="E8" s="43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44">
        <v>1</v>
      </c>
      <c r="B9" s="45" t="s">
        <v>63</v>
      </c>
      <c r="C9" s="45" t="s">
        <v>64</v>
      </c>
      <c r="D9" s="45" t="s">
        <v>65</v>
      </c>
      <c r="E9" s="46" t="s">
        <v>66</v>
      </c>
      <c r="F9" s="47">
        <v>0</v>
      </c>
      <c r="G9" s="4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48">
        <v>2</v>
      </c>
      <c r="B10" s="49" t="s">
        <v>67</v>
      </c>
      <c r="C10" s="49" t="s">
        <v>68</v>
      </c>
      <c r="D10" s="49" t="s">
        <v>69</v>
      </c>
      <c r="E10" s="50" t="s">
        <v>66</v>
      </c>
      <c r="F10" s="51">
        <v>1</v>
      </c>
      <c r="G10" s="51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44">
        <v>3</v>
      </c>
      <c r="B11" s="45" t="s">
        <v>70</v>
      </c>
      <c r="C11" s="45" t="s">
        <v>71</v>
      </c>
      <c r="D11" s="45" t="s">
        <v>72</v>
      </c>
      <c r="E11" s="46" t="s">
        <v>73</v>
      </c>
      <c r="F11" s="47">
        <v>0</v>
      </c>
      <c r="G11" s="47">
        <v>1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48">
        <v>4</v>
      </c>
      <c r="B12" s="49" t="s">
        <v>74</v>
      </c>
      <c r="C12" s="49" t="s">
        <v>75</v>
      </c>
      <c r="D12" s="49" t="s">
        <v>76</v>
      </c>
      <c r="E12" s="50"/>
      <c r="F12" s="51">
        <v>0</v>
      </c>
      <c r="G12" s="51">
        <v>1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44">
        <v>5</v>
      </c>
      <c r="B13" s="45" t="s">
        <v>77</v>
      </c>
      <c r="C13" s="45" t="s">
        <v>78</v>
      </c>
      <c r="D13" s="45" t="s">
        <v>79</v>
      </c>
      <c r="E13" s="46"/>
      <c r="F13" s="47">
        <v>0</v>
      </c>
      <c r="G13" s="47">
        <v>1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48">
        <v>6</v>
      </c>
      <c r="B14" s="49" t="s">
        <v>80</v>
      </c>
      <c r="C14" s="49" t="s">
        <v>81</v>
      </c>
      <c r="D14" s="49" t="s">
        <v>82</v>
      </c>
      <c r="E14" s="50"/>
      <c r="F14" s="51">
        <v>0</v>
      </c>
      <c r="G14" s="51">
        <v>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44">
        <v>7</v>
      </c>
      <c r="B15" s="45" t="s">
        <v>83</v>
      </c>
      <c r="C15" s="45" t="s">
        <v>84</v>
      </c>
      <c r="D15" s="45" t="s">
        <v>85</v>
      </c>
      <c r="E15" s="46"/>
      <c r="F15" s="47">
        <v>0</v>
      </c>
      <c r="G15" s="47">
        <v>1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48">
        <v>8</v>
      </c>
      <c r="B16" s="49" t="s">
        <v>86</v>
      </c>
      <c r="C16" s="49" t="s">
        <v>87</v>
      </c>
      <c r="D16" s="49" t="s">
        <v>88</v>
      </c>
      <c r="E16" s="50" t="s">
        <v>89</v>
      </c>
      <c r="F16" s="51">
        <v>3</v>
      </c>
      <c r="G16" s="51">
        <v>2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44">
        <v>9</v>
      </c>
      <c r="B17" s="45" t="s">
        <v>90</v>
      </c>
      <c r="C17" s="45" t="s">
        <v>91</v>
      </c>
      <c r="D17" s="45" t="s">
        <v>92</v>
      </c>
      <c r="E17" s="46" t="s">
        <v>93</v>
      </c>
      <c r="F17" s="47">
        <v>0</v>
      </c>
      <c r="G17" s="47">
        <v>1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</sheetData>
  <mergeCells count="4">
    <mergeCell ref="A1:C1"/>
    <mergeCell ref="A3:C3"/>
    <mergeCell ref="A2:C2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7" topLeftCell="A8" activePane="bottomLeft" state="frozen"/>
      <selection activeCell="B9" activeCellId="0" sqref="B9"/>
    </sheetView>
  </sheetViews>
  <sheetFormatPr baseColWidth="8" defaultColWidth="14.42578125" defaultRowHeight="15" customHeight="1"/>
  <cols>
    <col customWidth="1" min="1" max="1" width="17.85546875"/>
    <col customWidth="1" min="2" max="2" width="39.140625"/>
    <col customWidth="1" min="3" max="3" width="65.00390625"/>
    <col customWidth="1" min="4" max="4" width="28.5703125"/>
    <col customWidth="1" min="5" max="5" width="38.7109375"/>
    <col customWidth="1" min="6" max="6" width="15.140625"/>
    <col customWidth="1" min="7" max="7" width="12.710937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12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9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 t="s">
        <v>19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 t="s">
        <v>94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33" t="s">
        <v>95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43" t="s">
        <v>26</v>
      </c>
      <c r="B8" s="43" t="s">
        <v>27</v>
      </c>
      <c r="C8" s="43" t="s">
        <v>28</v>
      </c>
      <c r="D8" s="43" t="s">
        <v>29</v>
      </c>
      <c r="E8" s="43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44">
        <v>1</v>
      </c>
      <c r="B9" s="45" t="s">
        <v>96</v>
      </c>
      <c r="C9" s="45" t="s">
        <v>97</v>
      </c>
      <c r="D9" s="45" t="s">
        <v>98</v>
      </c>
      <c r="E9" s="46" t="s">
        <v>99</v>
      </c>
      <c r="F9" s="47">
        <v>0</v>
      </c>
      <c r="G9" s="4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48">
        <v>2</v>
      </c>
      <c r="B10" s="49" t="s">
        <v>100</v>
      </c>
      <c r="C10" s="49" t="s">
        <v>101</v>
      </c>
      <c r="D10" s="49" t="s">
        <v>102</v>
      </c>
      <c r="E10" s="50"/>
      <c r="F10" s="51">
        <v>0</v>
      </c>
      <c r="G10" s="51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44">
        <v>3</v>
      </c>
      <c r="B11" s="45" t="s">
        <v>103</v>
      </c>
      <c r="C11" s="45" t="s">
        <v>104</v>
      </c>
      <c r="D11" s="45" t="s">
        <v>105</v>
      </c>
      <c r="E11" s="46" t="s">
        <v>106</v>
      </c>
      <c r="F11" s="47">
        <v>0</v>
      </c>
      <c r="G11" s="47">
        <v>1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48">
        <v>4</v>
      </c>
      <c r="B12" s="49" t="s">
        <v>107</v>
      </c>
      <c r="C12" s="49" t="s">
        <v>108</v>
      </c>
      <c r="D12" s="49" t="s">
        <v>109</v>
      </c>
      <c r="E12" s="50" t="s">
        <v>110</v>
      </c>
      <c r="F12" s="51">
        <v>0</v>
      </c>
      <c r="G12" s="51">
        <v>1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44">
        <v>5</v>
      </c>
      <c r="B13" s="45" t="s">
        <v>111</v>
      </c>
      <c r="C13" s="45" t="s">
        <v>112</v>
      </c>
      <c r="D13" s="45" t="s">
        <v>113</v>
      </c>
      <c r="E13" s="46"/>
      <c r="F13" s="47">
        <v>0</v>
      </c>
      <c r="G13" s="47">
        <v>1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48">
        <v>6</v>
      </c>
      <c r="B14" s="49" t="s">
        <v>114</v>
      </c>
      <c r="C14" s="49" t="s">
        <v>115</v>
      </c>
      <c r="D14" s="49" t="s">
        <v>79</v>
      </c>
      <c r="E14" s="50"/>
      <c r="F14" s="51">
        <v>0</v>
      </c>
      <c r="G14" s="51">
        <v>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44">
        <v>7</v>
      </c>
      <c r="B15" s="45" t="s">
        <v>116</v>
      </c>
      <c r="C15" s="45" t="s">
        <v>91</v>
      </c>
      <c r="D15" s="45" t="s">
        <v>92</v>
      </c>
      <c r="E15" s="46" t="s">
        <v>93</v>
      </c>
      <c r="F15" s="47">
        <v>0</v>
      </c>
      <c r="G15" s="47">
        <v>1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48">
        <v>8</v>
      </c>
      <c r="B16" s="49" t="s">
        <v>117</v>
      </c>
      <c r="C16" s="49" t="s">
        <v>118</v>
      </c>
      <c r="D16" s="49" t="s">
        <v>119</v>
      </c>
      <c r="E16" s="50"/>
      <c r="F16" s="51">
        <v>0</v>
      </c>
      <c r="G16" s="51">
        <v>1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44">
        <v>9</v>
      </c>
      <c r="B17" s="45" t="s">
        <v>120</v>
      </c>
      <c r="C17" s="45" t="s">
        <v>121</v>
      </c>
      <c r="D17" s="45" t="s">
        <v>122</v>
      </c>
      <c r="E17" s="46"/>
      <c r="F17" s="47">
        <v>1</v>
      </c>
      <c r="G17" s="47">
        <v>2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48">
        <v>10</v>
      </c>
      <c r="B18" s="49" t="s">
        <v>123</v>
      </c>
      <c r="C18" s="49" t="s">
        <v>124</v>
      </c>
      <c r="D18" s="49" t="s">
        <v>125</v>
      </c>
      <c r="E18" s="50"/>
      <c r="F18" s="51">
        <v>0</v>
      </c>
      <c r="G18" s="51">
        <v>1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44">
        <v>11</v>
      </c>
      <c r="B19" s="45" t="s">
        <v>126</v>
      </c>
      <c r="C19" s="45" t="s">
        <v>127</v>
      </c>
      <c r="D19" s="45" t="s">
        <v>128</v>
      </c>
      <c r="E19" s="46" t="s">
        <v>129</v>
      </c>
      <c r="F19" s="47">
        <v>0</v>
      </c>
      <c r="G19" s="47">
        <v>1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48">
        <v>12</v>
      </c>
      <c r="B20" s="49" t="s">
        <v>130</v>
      </c>
      <c r="C20" s="49" t="s">
        <v>131</v>
      </c>
      <c r="D20" s="49" t="s">
        <v>132</v>
      </c>
      <c r="E20" s="50" t="s">
        <v>133</v>
      </c>
      <c r="F20" s="51">
        <v>3</v>
      </c>
      <c r="G20" s="51">
        <v>3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7" topLeftCell="A8" activePane="bottomLeft" state="frozen"/>
      <selection activeCell="B9" activeCellId="0" sqref="B9"/>
    </sheetView>
  </sheetViews>
  <sheetFormatPr baseColWidth="8" defaultColWidth="14.42578125" defaultRowHeight="15" customHeight="1"/>
  <cols>
    <col customWidth="1" min="1" max="1" width="17.85546875"/>
    <col customWidth="1" min="2" max="2" width="39.140625"/>
    <col customWidth="1" min="3" max="3" width="65.00390625"/>
    <col customWidth="1" min="4" max="4" width="28.5703125"/>
    <col customWidth="1" min="5" max="5" width="38.7109375"/>
    <col customWidth="1" min="6" max="6" width="15.140625"/>
    <col customWidth="1" min="7" max="7" width="12.710937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12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9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 t="s">
        <v>19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 t="s">
        <v>134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33" t="s">
        <v>135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43" t="s">
        <v>26</v>
      </c>
      <c r="B8" s="43" t="s">
        <v>27</v>
      </c>
      <c r="C8" s="43" t="s">
        <v>28</v>
      </c>
      <c r="D8" s="43" t="s">
        <v>29</v>
      </c>
      <c r="E8" s="43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52">
        <v>1</v>
      </c>
      <c r="B9" s="53" t="s">
        <v>136</v>
      </c>
      <c r="C9" s="53" t="s">
        <v>137</v>
      </c>
      <c r="D9" s="53" t="s">
        <v>138</v>
      </c>
      <c r="E9" s="46"/>
      <c r="F9" s="47">
        <v>0</v>
      </c>
      <c r="G9" s="4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54">
        <v>2</v>
      </c>
      <c r="B10" s="55" t="s">
        <v>139</v>
      </c>
      <c r="C10" s="55" t="s">
        <v>140</v>
      </c>
      <c r="D10" s="55" t="s">
        <v>138</v>
      </c>
      <c r="E10" s="50"/>
      <c r="F10" s="51">
        <v>0</v>
      </c>
      <c r="G10" s="51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52">
        <v>3</v>
      </c>
      <c r="B11" s="53" t="s">
        <v>141</v>
      </c>
      <c r="C11" s="53" t="s">
        <v>142</v>
      </c>
      <c r="D11" s="53" t="s">
        <v>143</v>
      </c>
      <c r="E11" s="46" t="s">
        <v>144</v>
      </c>
      <c r="F11" s="47">
        <v>0</v>
      </c>
      <c r="G11" s="47">
        <v>1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54">
        <v>4</v>
      </c>
      <c r="B12" s="55" t="s">
        <v>145</v>
      </c>
      <c r="C12" s="55" t="s">
        <v>146</v>
      </c>
      <c r="D12" s="55" t="s">
        <v>147</v>
      </c>
      <c r="E12" s="50"/>
      <c r="F12" s="51">
        <v>0</v>
      </c>
      <c r="G12" s="51">
        <v>1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52">
        <v>5</v>
      </c>
      <c r="B13" s="53" t="s">
        <v>148</v>
      </c>
      <c r="C13" s="53" t="s">
        <v>149</v>
      </c>
      <c r="D13" s="53" t="s">
        <v>150</v>
      </c>
      <c r="E13" s="46"/>
      <c r="F13" s="47">
        <v>0</v>
      </c>
      <c r="G13" s="47">
        <v>1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54">
        <v>6</v>
      </c>
      <c r="B14" s="55" t="s">
        <v>151</v>
      </c>
      <c r="C14" s="55" t="s">
        <v>152</v>
      </c>
      <c r="D14" s="55" t="s">
        <v>153</v>
      </c>
      <c r="E14" s="50"/>
      <c r="F14" s="51">
        <v>0</v>
      </c>
      <c r="G14" s="51">
        <v>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52">
        <v>7</v>
      </c>
      <c r="B15" s="53" t="s">
        <v>154</v>
      </c>
      <c r="C15" s="53" t="s">
        <v>155</v>
      </c>
      <c r="D15" s="53" t="s">
        <v>156</v>
      </c>
      <c r="E15" s="46"/>
      <c r="F15" s="47">
        <v>0</v>
      </c>
      <c r="G15" s="47">
        <v>1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54">
        <v>8</v>
      </c>
      <c r="B16" s="55" t="s">
        <v>157</v>
      </c>
      <c r="C16" s="55" t="s">
        <v>158</v>
      </c>
      <c r="D16" s="55" t="s">
        <v>159</v>
      </c>
      <c r="E16" s="50"/>
      <c r="F16" s="51">
        <v>0</v>
      </c>
      <c r="G16" s="51">
        <v>1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52">
        <v>9</v>
      </c>
      <c r="B17" s="53" t="s">
        <v>160</v>
      </c>
      <c r="C17" s="53" t="s">
        <v>161</v>
      </c>
      <c r="D17" s="53" t="s">
        <v>162</v>
      </c>
      <c r="E17" s="46" t="s">
        <v>163</v>
      </c>
      <c r="F17" s="47">
        <v>0</v>
      </c>
      <c r="G17" s="47">
        <v>1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54">
        <v>10</v>
      </c>
      <c r="B18" s="55" t="s">
        <v>164</v>
      </c>
      <c r="C18" s="55" t="s">
        <v>165</v>
      </c>
      <c r="D18" s="55" t="s">
        <v>166</v>
      </c>
      <c r="E18" s="50" t="s">
        <v>167</v>
      </c>
      <c r="F18" s="51">
        <v>0</v>
      </c>
      <c r="G18" s="51">
        <v>1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52">
        <v>11</v>
      </c>
      <c r="B19" s="53" t="s">
        <v>168</v>
      </c>
      <c r="C19" s="53" t="s">
        <v>169</v>
      </c>
      <c r="D19" s="53" t="s">
        <v>170</v>
      </c>
      <c r="E19" s="46"/>
      <c r="F19" s="47">
        <v>0</v>
      </c>
      <c r="G19" s="47">
        <v>1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54">
        <v>12</v>
      </c>
      <c r="B20" s="55" t="s">
        <v>171</v>
      </c>
      <c r="C20" s="55" t="s">
        <v>172</v>
      </c>
      <c r="D20" s="55" t="s">
        <v>173</v>
      </c>
      <c r="E20" s="50"/>
      <c r="F20" s="51">
        <v>0</v>
      </c>
      <c r="G20" s="51">
        <v>1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revision>6</cp:revision>
  <dcterms:created xsi:type="dcterms:W3CDTF">2015-11-17T16:06:06Z</dcterms:created>
  <dcterms:modified xsi:type="dcterms:W3CDTF">2026-05-30T21:14:21Z</dcterms:modified>
</cp:coreProperties>
</file>