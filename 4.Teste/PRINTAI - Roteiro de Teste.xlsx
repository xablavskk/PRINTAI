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únior\Downloads\"/>
    </mc:Choice>
  </mc:AlternateContent>
  <xr:revisionPtr revIDLastSave="0" documentId="8_{E702BF16-663A-4307-8B8B-A82224CCBC0A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apa" sheetId="1" r:id="rId1"/>
    <sheet name="AUX" sheetId="2" state="hidden" r:id="rId2"/>
    <sheet name="UC-Buscar Impressoras 3D" sheetId="3" r:id="rId3"/>
    <sheet name="UC-Realizar Cadastro" sheetId="4" r:id="rId4"/>
    <sheet name="UC-Solicitar Cadastro" sheetId="5" r:id="rId5"/>
    <sheet name="UC-Solicitar Pedido" sheetId="6" r:id="rId6"/>
    <sheet name="UC-Visualizar Detalhes" sheetId="7" r:id="rId7"/>
    <sheet name="UC-Manter Serviços - Pedidos" sheetId="8" r:id="rId8"/>
    <sheet name="UC-Manter Serviços - Serviços" sheetId="9" r:id="rId9"/>
    <sheet name="UC-Avaliar Maker" sheetId="10" r:id="rId10"/>
    <sheet name="UC-Consultar Avaliações" sheetId="11" r:id="rId11"/>
  </sheets>
  <definedNames>
    <definedName name="___xlfn_IFERROR">NA()</definedName>
    <definedName name="__xlfn_IFERROR">NA()</definedName>
    <definedName name="combo_SimNao">AUX!$A$2:$A$3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G21" i="1"/>
  <c r="F21" i="1"/>
  <c r="I21" i="1" s="1"/>
  <c r="D21" i="1"/>
  <c r="C21" i="1"/>
</calcChain>
</file>

<file path=xl/sharedStrings.xml><?xml version="1.0" encoding="utf-8"?>
<sst xmlns="http://schemas.openxmlformats.org/spreadsheetml/2006/main" count="473" uniqueCount="327">
  <si>
    <t>PRINTAI</t>
  </si>
  <si>
    <t>Qde de Defeitos</t>
  </si>
  <si>
    <t>Caso de Uso</t>
  </si>
  <si>
    <t>Total de Cenários</t>
  </si>
  <si>
    <t>Ciclo 1</t>
  </si>
  <si>
    <t>Ciclo 2</t>
  </si>
  <si>
    <t>Ciclo 3</t>
  </si>
  <si>
    <t xml:space="preserve"> UC-Buscar Impressoras 3D</t>
  </si>
  <si>
    <t>UC-Realizar Cadastro</t>
  </si>
  <si>
    <t>UC-Solicitar Cadastro</t>
  </si>
  <si>
    <t>UC-Solicitar pedido de impressao 3D</t>
  </si>
  <si>
    <t>UC-Visualizar detalhes</t>
  </si>
  <si>
    <t>UC-Manter Serviços de Impressão 3D (Pedidos + Serviços)</t>
  </si>
  <si>
    <t>UC-Avaliar Maker</t>
  </si>
  <si>
    <t>UC-Aprovar Makers</t>
  </si>
  <si>
    <t>UC-Consultar Avaliações</t>
  </si>
  <si>
    <t>Totais</t>
  </si>
  <si>
    <t>combo_SimNao</t>
  </si>
  <si>
    <t>Sim</t>
  </si>
  <si>
    <t>Não</t>
  </si>
  <si>
    <t>UC-Buscar Impressoras 3D</t>
  </si>
  <si>
    <t>Script de Teste:</t>
  </si>
  <si>
    <t>Massa de Teste:</t>
  </si>
  <si>
    <t>Impressoras cadastradas no sistema com diferentes tecnologias e materiais (utilizado h2 Driver MySQL do springboot)</t>
  </si>
  <si>
    <t>Pré-Condições:</t>
  </si>
  <si>
    <t>O sistema deve ter impressoras cadastradas. Não requer login para busca pública.</t>
  </si>
  <si>
    <t>Nr. Cenário</t>
  </si>
  <si>
    <t>Descrição</t>
  </si>
  <si>
    <t>Entradas</t>
  </si>
  <si>
    <t>Resultado Esperado</t>
  </si>
  <si>
    <t>Problemas/Observações</t>
  </si>
  <si>
    <t>Qde. Defeitos</t>
  </si>
  <si>
    <t>Qde. Ciclos</t>
  </si>
  <si>
    <t>Consultar disponibilidade do material por volume</t>
  </si>
  <si>
    <t>Volume: pequeno até 20 cm³</t>
  </si>
  <si>
    <t>Abrir modal com informações sobre filamentos e propriedades</t>
  </si>
  <si>
    <t>Volume não aplicado a filtragem dos dados obtidos (me traz 2 resultados sendo apenas 1 com valor 20)</t>
  </si>
  <si>
    <t>Filtrar impressoras por tecnologia</t>
  </si>
  <si>
    <t>Tipo: FDM</t>
  </si>
  <si>
    <t>Exibir apenas impressoras FDM na listagem</t>
  </si>
  <si>
    <t>não filtrou o tipo de acordo com o valor especificado</t>
  </si>
  <si>
    <t>Visualizar detalhes técnicos de uma impressora</t>
  </si>
  <si>
    <t>Seleção de uma impressora na lista</t>
  </si>
  <si>
    <t>Exibir dados técnicos completos da impressora selecionada</t>
  </si>
  <si>
    <t>erro ao chamar api de detalhe da impressora</t>
  </si>
  <si>
    <t>Buscar sem informar filtros</t>
  </si>
  <si>
    <t>Nenhum filtro preenchido</t>
  </si>
  <si>
    <t>O sistema deve listar impressoras disponíveis próximas ou cadastradas conforme regra da aplicação.</t>
  </si>
  <si>
    <t>Nenhum problema. O backend listou as impressoras normalmente, processando a ausência de parâmetros.</t>
  </si>
  <si>
    <t>Filtrar por tecnologia inexistente</t>
  </si>
  <si>
    <t>Tipo: SLA, caso não haja cadastro</t>
  </si>
  <si>
    <t xml:space="preserve">O sistema deve informar que não há impressoras compatíveis com o filtro selecionado. </t>
  </si>
  <si>
    <t>Nenhum problema. O filtro funcionou e a API devolveu uma lista vazia [] sem causar erros.</t>
  </si>
  <si>
    <t xml:space="preserve"> Visualizar detalhes sem selecionar impressora</t>
  </si>
  <si>
    <t>Nenhuma impressora selecionada</t>
  </si>
  <si>
    <t xml:space="preserve">O sistema deve impedir a ação ou exibir mensagem orientando a selecionar uma impressora. </t>
  </si>
  <si>
    <t>Nenhum problema. A API bloqueou a requisição inválida corretamente e devolveu um erro mapeado (404 Not Found).</t>
  </si>
  <si>
    <t>Validar retorno com dados incompletos</t>
  </si>
  <si>
    <t>Impressora sem material ou volume cadastrado</t>
  </si>
  <si>
    <t xml:space="preserve">O sistema deve tratar a ausência de dados sem quebrar a tela, exibindo mensagem apropriada. </t>
  </si>
  <si>
    <t>Tratamento adequado. A API processou os atributos nulos (sem material/tecnologia) e evitou Erro 500 no servidor.</t>
  </si>
  <si>
    <t xml:space="preserve"> Dados válidos (nome, e-mail único, senha ≥ 6 chars, telefone, endereço opcional) e dados inválidos (e-mail duplicado, mal formatado, senha curta, campos obrigatórios em branco)</t>
  </si>
  <si>
    <t>Sistema disponível, banco acessível, e-mail não cadastrado previamente</t>
  </si>
  <si>
    <t>Cadastro com dados validos e endereco completo</t>
  </si>
  <si>
    <t>nome: Joao Silva
email: joao@email.com
senha: senha123
telefone: 11999999999
logradouro: Rua A
numero: 10
cidade: Sao Paulo
estado: SP
cep: 01310-100</t>
  </si>
  <si>
    <t>HTTP 201 Created. Retorna id, nome, email, telefone, cidade, estado, latitude e longitude preenchidos. mensagem: Cadastro realizado com sucesso!</t>
  </si>
  <si>
    <t>Senha salva em texto puro (sem hash). TODO no codigo: aplicar BCrypt antes de producao.</t>
  </si>
  <si>
    <t>Cadastro com dados minimos obrigatorios (sem endereco)</t>
  </si>
  <si>
    <t>nome: Maria
email: maria@email.com
senha: abc123
telefone: 11988887777
(demais campos em branco)</t>
  </si>
  <si>
    <t>HTTP 201 Created. latitude e longitude nulos. mensagem: Cadastro realizado com sucesso!</t>
  </si>
  <si>
    <t>Cadastro com e-mail ja existente no sistema</t>
  </si>
  <si>
    <t>email: joao@email.com (ja cadastrado)
nome: Outro Nome
senha: senha123
telefone: 11977776666</t>
  </si>
  <si>
    <t>HTTP 400 Bad Request. Mensagem: E-mail ja cadastrado.</t>
  </si>
  <si>
    <t>Sem ExceptionHandler mapeado para IllegalArgumentException. Pode retornar HTTP 500 em vez de 400. Verificar configuracao do Spring.</t>
  </si>
  <si>
    <t>Cadastro com e-mail em formato invalido</t>
  </si>
  <si>
    <t>email: emailsemarroba
nome: Teste
senha: senha123
telefone: 11966665555</t>
  </si>
  <si>
    <t>HTTP 400 Bad Request. Mensagem de validacao: E-mail invalido.</t>
  </si>
  <si>
    <t>Cadastro com senha menor que 6 caracteres</t>
  </si>
  <si>
    <t>nome: Teste
email: novo@email.com
senha: 123
telefone: 11955554444</t>
  </si>
  <si>
    <t>HTTP 400 Bad Request. Mensagem: Senha deve ter no minimo 6 caracteres.</t>
  </si>
  <si>
    <t>Cadastro com campo nome em branco</t>
  </si>
  <si>
    <t>nome: (vazio)
email: teste2@email.com
senha: senha123
telefone: 11944443333</t>
  </si>
  <si>
    <t>HTTP 400 Bad Request. Mensagem: Nome e obrigatorio.</t>
  </si>
  <si>
    <t>Cadastro com campo telefone em branco</t>
  </si>
  <si>
    <t>nome: Teste
email: teste3@email.com
senha: senha123
telefone: (vazio)</t>
  </si>
  <si>
    <t>HTTP 400 Bad Request. Mensagem: Telefone e obrigatorio.</t>
  </si>
  <si>
    <t>Cadastro com endereco parcial (cidade informada, logradouro ausente)</t>
  </si>
  <si>
    <t>nome: Ana
email: ana@email.com
senha: senha123
telefone: 11933332222
cidade: Campinas
estado: SP</t>
  </si>
  <si>
    <t>HTTP 201 Created. Sistema tenta geocodificar. Se nao encontrar coordenadas, salva sem latitude/longitude. mensagem: Cadastro realizado com sucesso!</t>
  </si>
  <si>
    <t>Geocodificacao falha silenciosamente: usuario nao e notificado na resposta que as coordenadas nao foram salvas. Apenas log interno (warn).</t>
  </si>
  <si>
    <t>Cadastro com estado fora do padrao (mais de 2 caracteres)</t>
  </si>
  <si>
    <t>estado: Sao Paulo
demais campos validos</t>
  </si>
  <si>
    <t>HTTP 400 Bad Request. Mensagem: Estado deve ter 2 caracteres (ex: SP).</t>
  </si>
  <si>
    <t>Validacao @Size(min=2, max=2) nao verifica se e uma sigla de estado brasileira valida. Valores como XX passam na validacao.</t>
  </si>
  <si>
    <t xml:space="preserve">Massa de Teste: Dados validos: nome, e-mail unico, senha &gt;= 6 chars, telefone, CPF/CNPJ, logradouro, cidade, estado (2 chars), CEP. Servicos opcionais: nome, preco &gt; 0, tipoId valido, material valido. Dados invalidos: campos obrigatorios em branco, e-mail duplicado, senha curta, estado invalido, preco negativo, tipoId inexistente, material invalido.      </t>
  </si>
  <si>
    <t>Pre-Condicoes: Sistema disponivel. Banco de dados acessivel. E-mail nao cadastrado previamente. Tipos de impressao cadastrados no sistema (GET /api/tipos). Materiais cadastrados no sistema.</t>
  </si>
  <si>
    <t>Cadastro Maker com dados validos e sem servicos</t>
  </si>
  <si>
    <t>nome: Carlos Maker
email: carlos@maker.com
senha: maker123
telefone: 11999990000
documento: 123.456.789-00
logradouro: Rua B
numero: 50
cidade: Sao Paulo
estado: SP
cep: 01310-200</t>
  </si>
  <si>
    <t>HTTP 201 Created. Retorna id, nome, email, telefone, cidade, estado, latitude, longitude, statusAprovacao: true, totalServicos: 0. mensagem: Cadastro realizado com sucesso!</t>
  </si>
  <si>
    <t>Senha salva em texto puro. TODO no codigo: aplicar BCrypt antes de producao.</t>
  </si>
  <si>
    <t>Cadastro Maker com dados validos e 1 servico de impressao</t>
  </si>
  <si>
    <t>Dados do Maker validos +
servicos[0].nome: Impressao FDM
servicos[0].precoBase: 80.0
servicos[0].tipoId: 1 (Filamento)
servicos[0].material: PLA
servicos[0].suportaPrototipos: true</t>
  </si>
  <si>
    <t>HTTP 201 Created. totalServicos: 1. mensagem: Cadastro realizado com sucesso! 1 servico(s) cadastrado(s).</t>
  </si>
  <si>
    <t>Cadastro Maker com e-mail ja existente</t>
  </si>
  <si>
    <t>email: carlos@maker.com (ja cadastrado)
demais campos validos</t>
  </si>
  <si>
    <t>HTTP 409 Conflict. Mensagem: E-mail ja cadastrado.</t>
  </si>
  <si>
    <t>GlobalExceptionHandler mapeia IllegalArgumentException para HTTP 409. Diferente do UC de Cliente que retornava 400. Verificar padronizacao entre os casos de uso.</t>
  </si>
  <si>
    <t>Cadastro Maker sem campo obrigatorio (logradouro em branco)</t>
  </si>
  <si>
    <t>logradouro: (vazio)
demais campos validos</t>
  </si>
  <si>
    <t>HTTP 400 Bad Request. Mensagem: Logradouro e obrigatorio.</t>
  </si>
  <si>
    <t>Diferente do cadastro de Cliente, o Maker exige logradouro como campo obrigatorio.</t>
  </si>
  <si>
    <t>Cadastro Maker sem CPF/CNPJ</t>
  </si>
  <si>
    <t>documentoCpfCnpj: (vazio)
demais campos validos</t>
  </si>
  <si>
    <t>HTTP 400 Bad Request. Mensagem: CPF ou CNPJ e obrigatorio.</t>
  </si>
  <si>
    <t>Cadastro Maker com senha menor que 6 caracteres</t>
  </si>
  <si>
    <t>senha: 123
demais campos validos</t>
  </si>
  <si>
    <t>Cadastro Maker com estado invalido (mais de 2 chars)</t>
  </si>
  <si>
    <t>Cadastro Maker com servico com preco negativo</t>
  </si>
  <si>
    <t>Dados do Maker validos +
servicos[0].nome: Servico Teste
servicos[0].precoBase: -10.0</t>
  </si>
  <si>
    <t>HTTP 400 Bad Request. Mensagem: Preco base deve ser maior que zero.</t>
  </si>
  <si>
    <t>Cadastro Maker com servico com tipoId inexistente</t>
  </si>
  <si>
    <t>Dados do Maker validos +
servicos[0].nome: Servico Teste
servicos[0].precoBase: 50.0
servicos[0].tipoId: 9999</t>
  </si>
  <si>
    <t>HTTP 400 Bad Request. Mensagem: Tipo de impressao nao encontrado: id=9999.</t>
  </si>
  <si>
    <t>Cadastro Maker com servico com material invalido</t>
  </si>
  <si>
    <t>Dados do Maker validos +
servicos[0].nome: Servico Teste
servicos[0].precoBase: 50.0
servicos[0].material: XPTO</t>
  </si>
  <si>
    <t>HTTP 400 Bad Request. Mensagem: Material invalido: XPTO.</t>
  </si>
  <si>
    <t>Cadastro Maker com endereco valido e geocodificacao bem-sucedida</t>
  </si>
  <si>
    <t>Dados do Maker validos com endereco completo e reconhecivel pelo Nominatim</t>
  </si>
  <si>
    <t>HTTP 201 Created. latitude e longitude preenchidos com coordenadas reais.</t>
  </si>
  <si>
    <t>Depende da disponibilidade da API Nominatim (servico externo). Teste pode falhar em ambiente sem acesso a internet.</t>
  </si>
  <si>
    <t>Cadastro Maker com endereco valido mas geocodificacao falha (Nominatim indisponivel)</t>
  </si>
  <si>
    <t>Dados do Maker validos. Nominatim simulado como indisponivel (mock).</t>
  </si>
  <si>
    <t>HTTP 201 Created. latitude e longitude nulos. Cadastro salvo normalmente.</t>
  </si>
  <si>
    <t>Falha silenciosa: usuario nao e notificado que as coordenadas nao foram salvas. Apenas log interno (warn).</t>
  </si>
  <si>
    <t>Cliente autenticado (header X-Cliente-Id valido). Servico de impressao cadastrado (servicoId valido). TipoPedido: COM_MODELO (requer arquivo3D) ou SEM_MODELO (requer descricaoNecessidade). Quantidade &gt;= 1. Dados invalidos: clienteId ausente, clienteId de Maker, servicoId inexistente, tipoPedido nulo, quantidade zero.</t>
  </si>
  <si>
    <t>Sistema disponivel. Cliente cadastrado com perfil CLIENTE. Servico de impressao existente no banco. Header X-Cliente-Id enviado na requisicao.</t>
  </si>
  <si>
    <t>Pedido COM_MODELO com arquivo 3D informado</t>
  </si>
  <si>
    <t>X-Cliente-Id: 1 (CLIENTE)
servicoid: 1
tipoPedido: COM_MODELO
arquivo3D: peca.stl
material: PLA
quantidade: 2
observacoes: Imprimir em alta resolucao</t>
  </si>
  <si>
    <t>HTTP 201 Created. status: AGUARDANDO_ANALISE. mensagem: Pedido solicitado com sucesso! Aguarde a analise do Maker.</t>
  </si>
  <si>
    <t>Pedido SEM_MODELO com descricao da necessidade</t>
  </si>
  <si>
    <t>X-Cliente-Id: 1 (CLIENTE)
servicoid: 1
tipoPedido: SEM_MODELO
descricaoNecessidade: Preciso de um suporte para monitor
quantidade: 1</t>
  </si>
  <si>
    <t>Pedido sem header X-Cliente-Id</t>
  </si>
  <si>
    <t>Header X-Cliente-Id: ausente
servicoid: 1
tipoPedido: COM_MODELO
arquivo3D: peca.stl</t>
  </si>
  <si>
    <t>HTTP 409 Conflict. Mensagem: Usuario nao autenticado. Identificador do cliente (X-Cliente-Id) ausente.</t>
  </si>
  <si>
    <t>Autenticacao feita via header customizado X-Cliente-Id, sem uso de token JWT. Abordagem fragil para producao — qualquer clienteId pode ser informado sem validacao de sessao.</t>
  </si>
  <si>
    <t>Pedido com clienteId de usuario com perfil MAKER</t>
  </si>
  <si>
    <t>X-Cliente-Id: 2 (MAKER)
servicoid: 1
tipoPedido: COM_MODELO
arquivo3D: peca.stl</t>
  </si>
  <si>
    <t>HTTP 422 Unprocessable Entity. Mensagem: Somente usuarios com perfil de CLIENTE podem solicitar pedidos.</t>
  </si>
  <si>
    <t>Pedido com servicoId inexistente</t>
  </si>
  <si>
    <t>X-Cliente-Id: 1 (CLIENTE)
servicoid: 9999
tipoPedido: COM_MODELO
arquivo3D: peca.stl</t>
  </si>
  <si>
    <t>HTTP 422 Unprocessable Entity. Mensagem: Servico de impressao nao encontrado.</t>
  </si>
  <si>
    <t>Pedido sem tipoPedido (campo obrigatorio nulo)</t>
  </si>
  <si>
    <t>X-Cliente-Id: 1 (CLIENTE)
servicoid: 1
tipoPedido: null</t>
  </si>
  <si>
    <t>HTTP 400 Bad Request. Mensagem: O tipo do pedido e obrigatorio.</t>
  </si>
  <si>
    <t>Pedido sem servicoId (campo obrigatorio nulo)</t>
  </si>
  <si>
    <t>X-Cliente-Id: 1 (CLIENTE)
servicoid: null
tipoPedido: COM_MODELO</t>
  </si>
  <si>
    <t>HTTP 400 Bad Request. Mensagem: O ID do servico de impressao e obrigatorio.</t>
  </si>
  <si>
    <t>Pedido com quantidade zero</t>
  </si>
  <si>
    <t>X-Cliente-Id: 1 (CLIENTE)
servicoid: 1
tipoPedido: COM_MODELO
arquivo3D: peca.stl
quantidade: 0</t>
  </si>
  <si>
    <t>HTTP 400 Bad Request. Mensagem: A quantidade deve ser no minimo 1.</t>
  </si>
  <si>
    <t>Pedido COM_MODELO sem arquivo3D informado</t>
  </si>
  <si>
    <t>X-Cliente-Id: 1 (CLIENTE)
servicoid: 1
tipoPedido: COM_MODELO
arquivo3D: (vazio)
quantidade: 1</t>
  </si>
  <si>
    <t>HTTP 201 Created. Pedido salvo sem arquivo3D.</t>
  </si>
  <si>
    <t>Nao ha validacao no backend que exija arquivo3D quando tipoPedido = COM_MODELO. Campo fica nulo sem erro. Considerar adicionar validacao condicional.</t>
  </si>
  <si>
    <t>Pedido SEM_MODELO sem descricaoNecessidade</t>
  </si>
  <si>
    <t>X-Cliente-Id: 1 (CLIENTE)
servicoid: 1
tipoPedido: SEM_MODELO
descricaoNecessidade: (vazio)
quantidade: 1</t>
  </si>
  <si>
    <t>HTTP 201 Created. Pedido salvo sem descricaoNecessidade.</t>
  </si>
  <si>
    <t>Nao ha validacao que exija descricaoNecessidade quando tipoPedido = SEM_MODELO. Maker recebe pedido sem informacao suficiente para analisar. Considerar adicionar validacao condicional.</t>
  </si>
  <si>
    <t>Listar pedidos de cliente autenticado</t>
  </si>
  <si>
    <t>GET /api/pedidos
X-Cliente-Id: 1 (CLIENTE com pedidos cadastrados)</t>
  </si>
  <si>
    <t>HTTP 200 OK. Retorna lista com id, status, tipoPedido, dataPedido, servicoNome, makerNome de cada pedido.</t>
  </si>
  <si>
    <t>Listar pedidos com clienteId inexistente</t>
  </si>
  <si>
    <t>GET /api/pedidos
X-Cliente-Id: 9999</t>
  </si>
  <si>
    <t>HTTP 422 Unprocessable Entity. Mensagem: Cliente nao encontrado.</t>
  </si>
  <si>
    <t>UC-Visualizar Detalhes</t>
  </si>
  <si>
    <t>servicoId existente no banco</t>
  </si>
  <si>
    <t>Sistema disponível. Serviço de impressão cadastrado no banco.</t>
  </si>
  <si>
    <t>Visualizar detalhes com id válido</t>
  </si>
  <si>
    <t>GET /api/busca/detalhe/1</t>
  </si>
  <si>
    <t>HTTP 200 com JSON: id, nome, precoBase, material, tecnologias, maker, avaliacoes, mediaAvaliacao, totalAvaliacoes</t>
  </si>
  <si>
    <t>—</t>
  </si>
  <si>
    <t>Visualizar detalhes com id inexistente</t>
  </si>
  <si>
    <t>GET /api/busca/detalhe/9999</t>
  </si>
  <si>
    <t>HTTP 404 — Serviço não encontrado</t>
  </si>
  <si>
    <t>DEFEITO: RuntimeException não mapeada no GlobalExceptionHandler retorna HTTP 500 em vez de 404.</t>
  </si>
  <si>
    <t>Serviço com avaliações cadastradas</t>
  </si>
  <si>
    <t>id de serviço com avaliações no banco</t>
  </si>
  <si>
    <t>HTTP 200 — mediaAvaliacao preenchida, totalAvaliacoes &gt; 0, lista avaliacoes não vazia</t>
  </si>
  <si>
    <t>Serviço sem avaliações cadastradas</t>
  </si>
  <si>
    <t>id de serviço sem avaliações</t>
  </si>
  <si>
    <t>HTTP 200 — mediaAvaliacao = 0.0, totalAvaliacoes = 0, avaliacoes = []</t>
  </si>
  <si>
    <t>Endpoint público (sem autenticação)</t>
  </si>
  <si>
    <t>GET /api/busca/detalhe/1 sem nenhum header</t>
  </si>
  <si>
    <t>HTTP 200 — qualquer usuário acessa sem login</t>
  </si>
  <si>
    <t>Retorna dados do maker associado</t>
  </si>
  <si>
    <t>id válido com maker vinculado</t>
  </si>
  <si>
    <t>HTTP 200 — campo maker com id, nome, cidade, estado preenchidos</t>
  </si>
  <si>
    <t>UC-Manter Serviços de Impressão 3D — Pedidos</t>
  </si>
  <si>
    <t>Maker autenticado (X-Maker-Id válido). Pedidos cadastrados com diferentes status. Dados inválidos: makerId ausente, inexistente, perfil incorreto.</t>
  </si>
  <si>
    <t>Sistema disponível. Maker cadastrado e aprovado. Pedidos associados ao maker no banco de dados.</t>
  </si>
  <si>
    <t>Listar pedidos com header válido</t>
  </si>
  <si>
    <t>X-Maker-Id válido</t>
  </si>
  <si>
    <t>200 com lista de pedidos</t>
  </si>
  <si>
    <t>Listar pedidos com filtro de status</t>
  </si>
  <si>
    <t>X-Maker-Id + status</t>
  </si>
  <si>
    <t>200 com lista filtrada</t>
  </si>
  <si>
    <t>Listar pedidos sem header X-Maker-Id</t>
  </si>
  <si>
    <t>Requisição sem header</t>
  </si>
  <si>
    <t>400</t>
  </si>
  <si>
    <t>Listar pedidos com maker inexistente</t>
  </si>
  <si>
    <t>X-Maker-Id inválido</t>
  </si>
  <si>
    <t>400 com mensagem de erro</t>
  </si>
  <si>
    <t>Atualizar status de pedido válido</t>
  </si>
  <si>
    <t>Pedido id + novo status</t>
  </si>
  <si>
    <t>200 com pedido atualizado</t>
  </si>
  <si>
    <t>Atualizar status sem campo status</t>
  </si>
  <si>
    <t>Body sem campo status</t>
  </si>
  <si>
    <t>400 — erro de validação</t>
  </si>
  <si>
    <t>Atualizar status de pedido já finalizado</t>
  </si>
  <si>
    <t>Pedido com status FINALIZADO</t>
  </si>
  <si>
    <t>listarPedidos sem filtro retorna todos</t>
  </si>
  <si>
    <t>Sem filtro de status</t>
  </si>
  <si>
    <t>Todos os pedidos do maker</t>
  </si>
  <si>
    <t>listarPedidos com filtro usa repositório filtrado</t>
  </si>
  <si>
    <t>Filtro por status</t>
  </si>
  <si>
    <t>Apenas pedidos do status</t>
  </si>
  <si>
    <t>listarPedidos com maker inexistente</t>
  </si>
  <si>
    <t>MakerId inexistente</t>
  </si>
  <si>
    <t>RegraNegocioException</t>
  </si>
  <si>
    <t>listarPedidos com perfil CLIENTE</t>
  </si>
  <si>
    <t>Usuário com perfil CLIENTE</t>
  </si>
  <si>
    <t>atualizarStatus válido altera status</t>
  </si>
  <si>
    <t>Pedido id + status válido</t>
  </si>
  <si>
    <t>Pedido com novo status</t>
  </si>
  <si>
    <t>atualizarStatus em pedido FINALIZADO</t>
  </si>
  <si>
    <t>Pedido finalizado</t>
  </si>
  <si>
    <t>atualizarStatus com pedido de outro maker</t>
  </si>
  <si>
    <t>PedidoId de outro maker</t>
  </si>
  <si>
    <t>UC-Manter Serviços de Impressão 3D — Serviços</t>
  </si>
  <si>
    <t>Maker autenticado (X-Maker-Id válido). Serviços cadastrados no banco. Dados inválidos: nome vazio, preço zero, id de outro maker.</t>
  </si>
  <si>
    <t>Sistema disponível. Maker cadastrado e aprovado. Header X-Maker-Id enviado na requisição.</t>
  </si>
  <si>
    <t>Listar serviços com header válido</t>
  </si>
  <si>
    <t>200 com lista</t>
  </si>
  <si>
    <t>Listar serviços sem header</t>
  </si>
  <si>
    <t>Criar serviço com dados válidos</t>
  </si>
  <si>
    <t>Nome, preço e tecnologia válidos</t>
  </si>
  <si>
    <t>201 com serviço criado</t>
  </si>
  <si>
    <t>Criar serviço sem nome</t>
  </si>
  <si>
    <t>Campo nome vazio</t>
  </si>
  <si>
    <t>Criar serviço com preço zero</t>
  </si>
  <si>
    <t>Preço = 0</t>
  </si>
  <si>
    <t>Editar serviço com dados válidos</t>
  </si>
  <si>
    <t>Id do serviço + novos dados</t>
  </si>
  <si>
    <t>200 com serviço atualizado</t>
  </si>
  <si>
    <t>Editar serviço de outro maker</t>
  </si>
  <si>
    <t>Id de serviço de outro maker</t>
  </si>
  <si>
    <t>Remover serviço válido</t>
  </si>
  <si>
    <t>Id do serviço existente</t>
  </si>
  <si>
    <t>204 sem corpo</t>
  </si>
  <si>
    <t>Remover serviço inexistente</t>
  </si>
  <si>
    <t>Id inválido</t>
  </si>
  <si>
    <t>listarServicos retorna serviços do maker</t>
  </si>
  <si>
    <t>MakerId válido</t>
  </si>
  <si>
    <t>Lista com todos os serviços</t>
  </si>
  <si>
    <t>listarServicos sem serviços</t>
  </si>
  <si>
    <t>Maker sem serviços cadastrados</t>
  </si>
  <si>
    <t>Lista vazia</t>
  </si>
  <si>
    <t>criarServico com dados válidos persiste</t>
  </si>
  <si>
    <t>Dados válidos</t>
  </si>
  <si>
    <t>Serviço salvo e retornado</t>
  </si>
  <si>
    <t>criarServico com maker inexistente</t>
  </si>
  <si>
    <t>editarServico com dados válidos atualiza</t>
  </si>
  <si>
    <t>Id + dados atualizados</t>
  </si>
  <si>
    <t>Campos atualizados corretamente</t>
  </si>
  <si>
    <t>editarServico de outro maker</t>
  </si>
  <si>
    <t>removerServico válido deleta</t>
  </si>
  <si>
    <t>Id válido</t>
  </si>
  <si>
    <t>delete() chamado no repositório</t>
  </si>
  <si>
    <t>removerServico inexistente</t>
  </si>
  <si>
    <t>Id inexistente</t>
  </si>
  <si>
    <t>Cliente autenticado (X-Cliente-Id válido). Maker cadastrado. Pedido finalizado entre cliente e maker. Dados inválidos: nota fora do range, comentário vazio, avaliação duplicada.</t>
  </si>
  <si>
    <t>Sistema disponível. Cliente cadastrado com perfil CLIENTE. Maker cadastrado. Pedido com status FINALIZADO entre os dois usuários.</t>
  </si>
  <si>
    <t>Avaliação válida</t>
  </si>
  <si>
    <t>Nota (1-5) + comentário + X-Cliente-Id</t>
  </si>
  <si>
    <t>201 com dados da avaliação</t>
  </si>
  <si>
    <t>Avaliação sem header X-Cliente-Id</t>
  </si>
  <si>
    <t>Avaliação sem makerId</t>
  </si>
  <si>
    <t>Campo makerId ausente</t>
  </si>
  <si>
    <t>Nota menor que 1</t>
  </si>
  <si>
    <t>Nota = 0</t>
  </si>
  <si>
    <t>Nota maior que 5</t>
  </si>
  <si>
    <t>Nota = 6</t>
  </si>
  <si>
    <t>Avaliação sem comentário</t>
  </si>
  <si>
    <t>Campo comentário vazio</t>
  </si>
  <si>
    <t>Avaliação duplicada</t>
  </si>
  <si>
    <t>Cliente já avaliou o maker</t>
  </si>
  <si>
    <t>400 — já avaliou este Maker</t>
  </si>
  <si>
    <t>Avaliação sem pedido finalizado</t>
  </si>
  <si>
    <t>Sem pedido finalizado com o maker</t>
  </si>
  <si>
    <t>400 — após finalizar um pedido</t>
  </si>
  <si>
    <t>criarAvaliacao válida persiste e retorna</t>
  </si>
  <si>
    <t>DTO com mensagem de sucesso</t>
  </si>
  <si>
    <t>Cliente inexistente</t>
  </si>
  <si>
    <t>ClienteId inválido</t>
  </si>
  <si>
    <t>Maker inexistente</t>
  </si>
  <si>
    <t>MakerId inválido</t>
  </si>
  <si>
    <t>Usuário não é Maker</t>
  </si>
  <si>
    <t>Id de usuário sem perfil Maker</t>
  </si>
  <si>
    <t>Pedido em aberto ou sem pedido</t>
  </si>
  <si>
    <t>Avaliação duplicada no service</t>
  </si>
  <si>
    <t>Segunda avaliação para o mesmo maker</t>
  </si>
  <si>
    <t>Maker cadastrado com avaliações no sistema. Dados inválidos: makerId ausente ou inexistente.</t>
  </si>
  <si>
    <t>Sistema disponível. Maker cadastrado. Avaliações associadas ao maker no banco de dados.</t>
  </si>
  <si>
    <t>Listar avaliações com header válido</t>
  </si>
  <si>
    <t>X-Maker-Id válido (ou makerId na query)</t>
  </si>
  <si>
    <t>200 com lista e dados da avaliação</t>
  </si>
  <si>
    <t>Listar avaliações sem header</t>
  </si>
  <si>
    <t>Requisição sem identificação do maker</t>
  </si>
  <si>
    <t>Listar avaliações com maker inexistente</t>
  </si>
  <si>
    <t>400 — Maker não encontrado</t>
  </si>
  <si>
    <t>listarAvaliacoes retorna avaliações do maker</t>
  </si>
  <si>
    <t>MakerId válido com avaliações</t>
  </si>
  <si>
    <t>Lista com nota, comentário, data</t>
  </si>
  <si>
    <t>listarAvaliacoes sem avaliações</t>
  </si>
  <si>
    <t>Maker sem avaliações cadastradas</t>
  </si>
  <si>
    <t>listarAvaliacoes com maker inexistente</t>
  </si>
  <si>
    <t>MakerId inexistente via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</si>
</sst>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Arial"/>
    </font>
    <font>
      <b/>
      <sz val="14"/>
      <color theme="0"/>
      <name val="Arial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4"/>
      <color theme="1"/>
      <name val="Arial"/>
    </font>
    <font>
      <b/>
      <sz val="11"/>
      <color theme="0"/>
      <name val="Arial"/>
    </font>
    <font>
      <b/>
      <sz val="11"/>
      <color indexed="65"/>
      <name val="Arial"/>
    </font>
    <font>
      <sz val="11"/>
      <color indexed="2"/>
      <name val="Arial"/>
    </font>
    <font>
      <sz val="11"/>
      <color indexed="49"/>
      <name val="Arial"/>
    </font>
    <font>
      <sz val="11"/>
      <color indexed="2"/>
      <name val="Calibri"/>
    </font>
    <font>
      <sz val="11"/>
      <name val="Calibri"/>
    </font>
    <font>
      <sz val="11"/>
      <color indexed="2"/>
      <name val="Calibri"/>
    </font>
    <font>
      <sz val="11"/>
      <color indexed="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3" fillId="2" borderId="7" xfId="0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5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6" fillId="0" borderId="0" xfId="0" applyFont="1"/>
    <xf numFmtId="0" fontId="1" fillId="0" borderId="0" xfId="0" applyFont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10" fillId="4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1" fillId="0" borderId="18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2" fillId="4" borderId="7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left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left" vertical="center" wrapText="1"/>
    </xf>
    <xf numFmtId="0" fontId="14" fillId="6" borderId="20" xfId="0" applyFont="1" applyFill="1" applyBorder="1" applyAlignment="1">
      <alignment horizontal="left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2" borderId="13" xfId="0" applyFont="1" applyFill="1" applyBorder="1" applyAlignment="1">
      <alignment horizontal="center" wrapText="1"/>
    </xf>
    <xf numFmtId="0" fontId="0" fillId="0" borderId="14" xfId="0" applyBorder="1"/>
    <xf numFmtId="0" fontId="0" fillId="0" borderId="15" xfId="0" applyBorder="1"/>
    <xf numFmtId="0" fontId="5" fillId="3" borderId="7" xfId="0" applyFont="1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7" fillId="3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0" fillId="0" borderId="0" xfId="0"/>
    <xf numFmtId="0" fontId="5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D8" sqref="D8"/>
    </sheetView>
  </sheetViews>
  <sheetFormatPr defaultColWidth="14.42578125" defaultRowHeight="15" customHeight="1"/>
  <cols>
    <col min="1" max="1" width="2.28515625" customWidth="1"/>
    <col min="2" max="2" width="4.28515625" customWidth="1"/>
    <col min="3" max="3" width="32.5703125" customWidth="1"/>
    <col min="4" max="4" width="17.28515625" customWidth="1"/>
    <col min="5" max="5" width="10.5703125" customWidth="1"/>
    <col min="6" max="6" width="11.28515625" customWidth="1"/>
    <col min="7" max="7" width="10.28515625" customWidth="1"/>
    <col min="8" max="8" width="9" customWidth="1"/>
    <col min="9" max="9" width="9.42578125" customWidth="1"/>
    <col min="10" max="26" width="9" customWidth="1"/>
  </cols>
  <sheetData>
    <row r="1" spans="1:26" ht="5.2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3"/>
      <c r="C2" s="45" t="s">
        <v>0</v>
      </c>
      <c r="D2" s="46"/>
      <c r="E2" s="46"/>
      <c r="F2" s="46"/>
      <c r="G2" s="46"/>
      <c r="H2" s="46"/>
      <c r="I2" s="46"/>
      <c r="J2" s="46"/>
      <c r="K2" s="46"/>
      <c r="L2" s="4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4"/>
      <c r="C3" s="1"/>
      <c r="D3" s="2"/>
      <c r="E3" s="1"/>
      <c r="F3" s="1"/>
      <c r="G3" s="1" t="s">
        <v>1</v>
      </c>
      <c r="H3" s="1"/>
      <c r="I3" s="1"/>
      <c r="J3" s="1"/>
      <c r="K3" s="1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4"/>
      <c r="C4" s="6" t="s">
        <v>2</v>
      </c>
      <c r="D4" s="6" t="s">
        <v>3</v>
      </c>
      <c r="E4" s="1"/>
      <c r="F4" s="6" t="s">
        <v>4</v>
      </c>
      <c r="G4" s="6" t="s">
        <v>5</v>
      </c>
      <c r="H4" s="6" t="s">
        <v>6</v>
      </c>
      <c r="I4" s="1"/>
      <c r="J4" s="1"/>
      <c r="K4" s="1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4"/>
      <c r="C5" s="7" t="s">
        <v>7</v>
      </c>
      <c r="D5" s="8">
        <v>7</v>
      </c>
      <c r="E5" s="1"/>
      <c r="F5" s="9">
        <v>3</v>
      </c>
      <c r="G5" s="9">
        <v>2</v>
      </c>
      <c r="H5" s="9">
        <v>2</v>
      </c>
      <c r="I5" s="1"/>
      <c r="J5" s="1"/>
      <c r="K5" s="1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4"/>
      <c r="C6" s="7" t="s">
        <v>8</v>
      </c>
      <c r="D6" s="8">
        <v>9</v>
      </c>
      <c r="E6" s="1"/>
      <c r="F6" s="9">
        <v>1</v>
      </c>
      <c r="G6" s="9">
        <v>3</v>
      </c>
      <c r="H6" s="9">
        <v>0</v>
      </c>
      <c r="I6" s="1"/>
      <c r="J6" s="1"/>
      <c r="K6" s="1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4"/>
      <c r="C7" s="7" t="s">
        <v>9</v>
      </c>
      <c r="D7" s="8">
        <v>12</v>
      </c>
      <c r="E7" s="1"/>
      <c r="F7" s="9">
        <v>0</v>
      </c>
      <c r="G7" s="9">
        <v>1</v>
      </c>
      <c r="H7" s="9">
        <v>3</v>
      </c>
      <c r="I7" s="1"/>
      <c r="J7" s="1"/>
      <c r="K7" s="1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"/>
      <c r="B8" s="4"/>
      <c r="C8" s="7" t="s">
        <v>10</v>
      </c>
      <c r="D8" s="8">
        <v>12</v>
      </c>
      <c r="E8" s="1"/>
      <c r="F8" s="9">
        <v>0</v>
      </c>
      <c r="G8" s="9">
        <v>0</v>
      </c>
      <c r="H8" s="9">
        <v>0</v>
      </c>
      <c r="I8" s="1"/>
      <c r="J8" s="1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/>
      <c r="C9" s="7" t="s">
        <v>11</v>
      </c>
      <c r="D9" s="8">
        <v>6</v>
      </c>
      <c r="E9" s="1"/>
      <c r="F9" s="9">
        <v>1</v>
      </c>
      <c r="G9" s="9">
        <v>0</v>
      </c>
      <c r="H9" s="9">
        <v>0</v>
      </c>
      <c r="I9" s="1"/>
      <c r="J9" s="1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4"/>
      <c r="C10" s="7" t="s">
        <v>12</v>
      </c>
      <c r="D10" s="8">
        <v>31</v>
      </c>
      <c r="E10" s="1"/>
      <c r="F10" s="9">
        <v>0</v>
      </c>
      <c r="G10" s="9">
        <v>0</v>
      </c>
      <c r="H10" s="9">
        <v>0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4"/>
      <c r="C11" s="7" t="s">
        <v>13</v>
      </c>
      <c r="D11" s="8">
        <v>14</v>
      </c>
      <c r="E11" s="1"/>
      <c r="F11" s="9">
        <v>0</v>
      </c>
      <c r="G11" s="9">
        <v>0</v>
      </c>
      <c r="H11" s="9">
        <v>0</v>
      </c>
      <c r="I11" s="1"/>
      <c r="J11" s="1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4"/>
      <c r="C12" s="7" t="s">
        <v>14</v>
      </c>
      <c r="D12" s="8"/>
      <c r="E12" s="1"/>
      <c r="F12" s="9"/>
      <c r="G12" s="9"/>
      <c r="H12" s="9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1"/>
      <c r="B13" s="4"/>
      <c r="C13" s="7" t="s">
        <v>15</v>
      </c>
      <c r="D13" s="8">
        <v>6</v>
      </c>
      <c r="E13" s="1"/>
      <c r="F13" s="9">
        <v>0</v>
      </c>
      <c r="G13" s="9">
        <v>0</v>
      </c>
      <c r="H13" s="9">
        <v>0</v>
      </c>
      <c r="I13" s="1"/>
      <c r="J13" s="1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4"/>
      <c r="C14" s="7"/>
      <c r="D14" s="8"/>
      <c r="E14" s="1"/>
      <c r="F14" s="9"/>
      <c r="G14" s="9"/>
      <c r="H14" s="9"/>
      <c r="I14" s="1"/>
      <c r="J14" s="1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4"/>
      <c r="C15" s="7"/>
      <c r="D15" s="8"/>
      <c r="E15" s="1"/>
      <c r="F15" s="9"/>
      <c r="G15" s="9"/>
      <c r="H15" s="9"/>
      <c r="I15" s="1"/>
      <c r="J15" s="1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4"/>
      <c r="C16" s="7"/>
      <c r="D16" s="8"/>
      <c r="E16" s="1"/>
      <c r="F16" s="9"/>
      <c r="G16" s="9"/>
      <c r="H16" s="9"/>
      <c r="I16" s="1"/>
      <c r="J16" s="1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4"/>
      <c r="C17" s="7"/>
      <c r="D17" s="8"/>
      <c r="E17" s="1"/>
      <c r="F17" s="9"/>
      <c r="G17" s="9"/>
      <c r="H17" s="9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4"/>
      <c r="C18" s="7"/>
      <c r="D18" s="8"/>
      <c r="E18" s="1"/>
      <c r="F18" s="9"/>
      <c r="G18" s="9"/>
      <c r="H18" s="9"/>
      <c r="I18" s="1"/>
      <c r="J18" s="1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4"/>
      <c r="C19" s="7"/>
      <c r="D19" s="8"/>
      <c r="E19" s="1"/>
      <c r="F19" s="9"/>
      <c r="G19" s="9"/>
      <c r="H19" s="9"/>
      <c r="I19" s="1"/>
      <c r="J19" s="1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4"/>
      <c r="C20" s="10" t="s">
        <v>16</v>
      </c>
      <c r="D20" s="10"/>
      <c r="E20" s="1"/>
      <c r="F20" s="11"/>
      <c r="G20" s="11"/>
      <c r="H20" s="12"/>
      <c r="I20" s="1"/>
      <c r="J20" s="1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4"/>
      <c r="C21" s="8">
        <f>COUNTA(C5:C19)</f>
        <v>9</v>
      </c>
      <c r="D21" s="8">
        <f>SUM(D5:D19)</f>
        <v>97</v>
      </c>
      <c r="E21" s="1"/>
      <c r="F21" s="8">
        <f>SUM(F5:F19)</f>
        <v>5</v>
      </c>
      <c r="G21" s="8">
        <f>SUM(G5:G19)</f>
        <v>6</v>
      </c>
      <c r="H21" s="8">
        <f>SUM(H5:H19)</f>
        <v>5</v>
      </c>
      <c r="I21" s="13">
        <f>SUM(F21:H21)</f>
        <v>16</v>
      </c>
      <c r="J21" s="1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L2"/>
  </mergeCells>
  <pageMargins left="0.51180555555555562" right="0.51180555555555562" top="0.78750000000000009" bottom="0.78750000000000009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1" width="14" customWidth="1"/>
    <col min="2" max="2" width="12" customWidth="1"/>
    <col min="3" max="26" width="8.7109375" customWidth="1"/>
  </cols>
  <sheetData>
    <row r="1" spans="1:1">
      <c r="A1" s="17" t="s">
        <v>17</v>
      </c>
    </row>
    <row r="2" spans="1:1">
      <c r="A2" s="17" t="s">
        <v>18</v>
      </c>
    </row>
    <row r="3" spans="1:1">
      <c r="A3" s="17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562" right="0.51180555555555562" top="0.78750000000000009" bottom="0.7875000000000000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7" topLeftCell="A8" activePane="bottomLeft" state="frozen"/>
      <selection activeCell="B9" sqref="B9"/>
      <selection pane="bottomLeft"/>
    </sheetView>
  </sheetViews>
  <sheetFormatPr defaultColWidth="14.42578125" defaultRowHeight="15" customHeight="1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  <col min="8" max="27" width="9.140625" customWidth="1"/>
  </cols>
  <sheetData>
    <row r="1" spans="1:27" ht="15" customHeight="1">
      <c r="A1" s="48" t="s">
        <v>3</v>
      </c>
      <c r="B1" s="49"/>
      <c r="C1" s="50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25" customHeight="1">
      <c r="A2" s="54">
        <v>7</v>
      </c>
      <c r="B2" s="52"/>
      <c r="C2" s="53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>
      <c r="A3" s="51" t="s">
        <v>20</v>
      </c>
      <c r="B3" s="52"/>
      <c r="C3" s="53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6.5" customHeight="1">
      <c r="A4" s="55" t="s">
        <v>21</v>
      </c>
      <c r="B4" s="53"/>
      <c r="C4" s="19" t="s">
        <v>19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>
      <c r="A5" s="20" t="s">
        <v>22</v>
      </c>
      <c r="B5" s="20"/>
      <c r="C5" s="19" t="s">
        <v>23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" customHeight="1">
      <c r="A6" s="21" t="s">
        <v>24</v>
      </c>
      <c r="B6" s="21"/>
      <c r="C6" s="22" t="s">
        <v>25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6.5" customHeight="1">
      <c r="A9" s="25">
        <v>1</v>
      </c>
      <c r="B9" s="26" t="s">
        <v>33</v>
      </c>
      <c r="C9" s="26" t="s">
        <v>34</v>
      </c>
      <c r="D9" s="26" t="s">
        <v>35</v>
      </c>
      <c r="E9" s="27" t="s">
        <v>36</v>
      </c>
      <c r="F9" s="27">
        <v>2</v>
      </c>
      <c r="G9" s="27">
        <v>1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18"/>
      <c r="Y9" s="18"/>
      <c r="Z9" s="18"/>
      <c r="AA9" s="18"/>
    </row>
    <row r="10" spans="1:27" ht="16.5" customHeight="1">
      <c r="A10" s="29">
        <v>2</v>
      </c>
      <c r="B10" s="30" t="s">
        <v>37</v>
      </c>
      <c r="C10" s="30" t="s">
        <v>38</v>
      </c>
      <c r="D10" s="30" t="s">
        <v>39</v>
      </c>
      <c r="E10" s="27" t="s">
        <v>40</v>
      </c>
      <c r="F10" s="27">
        <v>1</v>
      </c>
      <c r="G10" s="27">
        <v>2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18"/>
      <c r="Y10" s="18"/>
      <c r="Z10" s="18"/>
      <c r="AA10" s="18"/>
    </row>
    <row r="11" spans="1:27" ht="16.5" customHeight="1">
      <c r="A11" s="29">
        <v>3</v>
      </c>
      <c r="B11" s="30" t="s">
        <v>41</v>
      </c>
      <c r="C11" s="30" t="s">
        <v>42</v>
      </c>
      <c r="D11" s="30" t="s">
        <v>43</v>
      </c>
      <c r="E11" s="31" t="s">
        <v>44</v>
      </c>
      <c r="F11" s="31">
        <v>2</v>
      </c>
      <c r="G11" s="31"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6.5" customHeight="1">
      <c r="A12" s="29">
        <v>4</v>
      </c>
      <c r="B12" s="30" t="s">
        <v>45</v>
      </c>
      <c r="C12" s="30" t="s">
        <v>46</v>
      </c>
      <c r="D12" s="30" t="s">
        <v>47</v>
      </c>
      <c r="E12" s="27" t="s">
        <v>48</v>
      </c>
      <c r="F12" s="27">
        <v>0</v>
      </c>
      <c r="G12" s="27"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6.5" customHeight="1">
      <c r="A13" s="29">
        <v>5</v>
      </c>
      <c r="B13" s="30" t="s">
        <v>49</v>
      </c>
      <c r="C13" s="30" t="s">
        <v>50</v>
      </c>
      <c r="D13" s="30" t="s">
        <v>51</v>
      </c>
      <c r="E13" s="27" t="s">
        <v>52</v>
      </c>
      <c r="F13" s="27">
        <v>0</v>
      </c>
      <c r="G13" s="27">
        <v>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6.5" customHeight="1">
      <c r="A14" s="25">
        <v>6</v>
      </c>
      <c r="B14" s="26" t="s">
        <v>53</v>
      </c>
      <c r="C14" s="26" t="s">
        <v>54</v>
      </c>
      <c r="D14" s="26" t="s">
        <v>55</v>
      </c>
      <c r="E14" s="27" t="s">
        <v>56</v>
      </c>
      <c r="F14" s="27">
        <v>0</v>
      </c>
      <c r="G14" s="27">
        <v>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25" customHeight="1">
      <c r="A15" s="29">
        <v>7</v>
      </c>
      <c r="B15" s="30" t="s">
        <v>57</v>
      </c>
      <c r="C15" s="30" t="s">
        <v>58</v>
      </c>
      <c r="D15" s="30" t="s">
        <v>59</v>
      </c>
      <c r="E15" s="27" t="s">
        <v>60</v>
      </c>
      <c r="F15" s="27">
        <v>0</v>
      </c>
      <c r="G15" s="27"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25" customHeight="1">
      <c r="A16" s="29">
        <v>8</v>
      </c>
      <c r="B16" s="30"/>
      <c r="C16" s="30"/>
      <c r="D16" s="30"/>
      <c r="E16" s="31"/>
      <c r="F16" s="31"/>
      <c r="G16" s="3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25" customHeight="1">
      <c r="A17" s="29">
        <v>9</v>
      </c>
      <c r="B17" s="30"/>
      <c r="C17" s="30"/>
      <c r="D17" s="30"/>
      <c r="E17" s="27"/>
      <c r="F17" s="27"/>
      <c r="G17" s="2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25" customHeight="1">
      <c r="A18" s="29">
        <v>10</v>
      </c>
      <c r="B18" s="30"/>
      <c r="C18" s="30"/>
      <c r="D18" s="30"/>
      <c r="E18" s="27"/>
      <c r="F18" s="27"/>
      <c r="G18" s="2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25" customHeight="1">
      <c r="A19" s="25">
        <v>11</v>
      </c>
      <c r="B19" s="26"/>
      <c r="C19" s="26"/>
      <c r="D19" s="26"/>
      <c r="E19" s="27"/>
      <c r="F19" s="27"/>
      <c r="G19" s="2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4.2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mergeCells count="4">
    <mergeCell ref="A1:C1"/>
    <mergeCell ref="A3:C3"/>
    <mergeCell ref="A2:C2"/>
    <mergeCell ref="A4:B4"/>
  </mergeCells>
  <pageMargins left="0.78750000000000009" right="0.78750000000000009" top="1.052777777777778" bottom="1.052777777777778" header="0" footer="0"/>
  <pageSetup paperSize="9" orientation="portrait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8"/>
  <sheetViews>
    <sheetView workbookViewId="0">
      <pane ySplit="7" topLeftCell="A8" activePane="bottomLeft" state="frozen"/>
      <selection activeCell="B9" sqref="B9"/>
      <selection pane="bottomLeft"/>
    </sheetView>
  </sheetViews>
  <sheetFormatPr defaultColWidth="14.42578125" defaultRowHeight="15" customHeight="1"/>
  <cols>
    <col min="1" max="1" width="17.85546875" customWidth="1"/>
    <col min="2" max="2" width="39.140625" customWidth="1"/>
    <col min="3" max="3" width="65" customWidth="1"/>
    <col min="4" max="4" width="28.5703125" customWidth="1"/>
    <col min="5" max="5" width="38.7109375" customWidth="1"/>
    <col min="6" max="6" width="15.140625" customWidth="1"/>
    <col min="7" max="7" width="12.7109375" customWidth="1"/>
    <col min="8" max="27" width="9.140625" customWidth="1"/>
  </cols>
  <sheetData>
    <row r="1" spans="1:27" ht="15" customHeight="1">
      <c r="A1" s="48" t="s">
        <v>3</v>
      </c>
      <c r="B1" s="49"/>
      <c r="C1" s="50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25" customHeight="1">
      <c r="A2" s="54">
        <v>9</v>
      </c>
      <c r="B2" s="52"/>
      <c r="C2" s="53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>
      <c r="A3" s="51" t="s">
        <v>8</v>
      </c>
      <c r="B3" s="52"/>
      <c r="C3" s="53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6.5" customHeight="1">
      <c r="A4" s="55" t="s">
        <v>21</v>
      </c>
      <c r="B4" s="53"/>
      <c r="C4" s="19" t="s">
        <v>19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>
      <c r="A5" s="20" t="s">
        <v>22</v>
      </c>
      <c r="B5" s="20"/>
      <c r="C5" s="19" t="s">
        <v>61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" customHeight="1">
      <c r="A6" s="21" t="s">
        <v>24</v>
      </c>
      <c r="B6" s="21"/>
      <c r="C6" s="22" t="s">
        <v>62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>
      <c r="A8" s="32" t="s">
        <v>26</v>
      </c>
      <c r="B8" s="32" t="s">
        <v>27</v>
      </c>
      <c r="C8" s="32" t="s">
        <v>28</v>
      </c>
      <c r="D8" s="32" t="s">
        <v>29</v>
      </c>
      <c r="E8" s="32" t="s">
        <v>30</v>
      </c>
      <c r="F8" s="24" t="s">
        <v>31</v>
      </c>
      <c r="G8" s="24" t="s">
        <v>32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6.5" customHeight="1">
      <c r="A9" s="33">
        <v>1</v>
      </c>
      <c r="B9" s="34" t="s">
        <v>63</v>
      </c>
      <c r="C9" s="34" t="s">
        <v>64</v>
      </c>
      <c r="D9" s="34" t="s">
        <v>65</v>
      </c>
      <c r="E9" s="35" t="s">
        <v>66</v>
      </c>
      <c r="F9" s="36">
        <v>0</v>
      </c>
      <c r="G9" s="36">
        <v>1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18"/>
      <c r="Y9" s="18"/>
      <c r="Z9" s="18"/>
      <c r="AA9" s="18"/>
    </row>
    <row r="10" spans="1:27" ht="16.5" customHeight="1">
      <c r="A10" s="37">
        <v>2</v>
      </c>
      <c r="B10" s="38" t="s">
        <v>67</v>
      </c>
      <c r="C10" s="38" t="s">
        <v>68</v>
      </c>
      <c r="D10" s="38" t="s">
        <v>69</v>
      </c>
      <c r="E10" s="39" t="s">
        <v>66</v>
      </c>
      <c r="F10" s="40">
        <v>1</v>
      </c>
      <c r="G10" s="40">
        <v>1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18"/>
      <c r="Y10" s="18"/>
      <c r="Z10" s="18"/>
      <c r="AA10" s="18"/>
    </row>
    <row r="11" spans="1:27" ht="16.5" customHeight="1">
      <c r="A11" s="33">
        <v>3</v>
      </c>
      <c r="B11" s="34" t="s">
        <v>70</v>
      </c>
      <c r="C11" s="34" t="s">
        <v>71</v>
      </c>
      <c r="D11" s="34" t="s">
        <v>72</v>
      </c>
      <c r="E11" s="35" t="s">
        <v>73</v>
      </c>
      <c r="F11" s="36">
        <v>0</v>
      </c>
      <c r="G11" s="36"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6.5" customHeight="1">
      <c r="A12" s="37">
        <v>4</v>
      </c>
      <c r="B12" s="38" t="s">
        <v>74</v>
      </c>
      <c r="C12" s="38" t="s">
        <v>75</v>
      </c>
      <c r="D12" s="38" t="s">
        <v>76</v>
      </c>
      <c r="E12" s="39"/>
      <c r="F12" s="40">
        <v>0</v>
      </c>
      <c r="G12" s="40"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6.5" customHeight="1">
      <c r="A13" s="33">
        <v>5</v>
      </c>
      <c r="B13" s="34" t="s">
        <v>77</v>
      </c>
      <c r="C13" s="34" t="s">
        <v>78</v>
      </c>
      <c r="D13" s="34" t="s">
        <v>79</v>
      </c>
      <c r="E13" s="35"/>
      <c r="F13" s="36">
        <v>0</v>
      </c>
      <c r="G13" s="36">
        <v>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6.5" customHeight="1">
      <c r="A14" s="37">
        <v>6</v>
      </c>
      <c r="B14" s="38" t="s">
        <v>80</v>
      </c>
      <c r="C14" s="38" t="s">
        <v>81</v>
      </c>
      <c r="D14" s="38" t="s">
        <v>82</v>
      </c>
      <c r="E14" s="39"/>
      <c r="F14" s="40">
        <v>0</v>
      </c>
      <c r="G14" s="40">
        <v>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25" customHeight="1">
      <c r="A15" s="33">
        <v>7</v>
      </c>
      <c r="B15" s="34" t="s">
        <v>83</v>
      </c>
      <c r="C15" s="34" t="s">
        <v>84</v>
      </c>
      <c r="D15" s="34" t="s">
        <v>85</v>
      </c>
      <c r="E15" s="35"/>
      <c r="F15" s="36">
        <v>0</v>
      </c>
      <c r="G15" s="36"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25" customHeight="1">
      <c r="A16" s="37">
        <v>8</v>
      </c>
      <c r="B16" s="38" t="s">
        <v>86</v>
      </c>
      <c r="C16" s="38" t="s">
        <v>87</v>
      </c>
      <c r="D16" s="38" t="s">
        <v>88</v>
      </c>
      <c r="E16" s="39" t="s">
        <v>89</v>
      </c>
      <c r="F16" s="40">
        <v>3</v>
      </c>
      <c r="G16" s="40">
        <v>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25" customHeight="1">
      <c r="A17" s="33">
        <v>9</v>
      </c>
      <c r="B17" s="34" t="s">
        <v>90</v>
      </c>
      <c r="C17" s="34" t="s">
        <v>91</v>
      </c>
      <c r="D17" s="34" t="s">
        <v>92</v>
      </c>
      <c r="E17" s="35" t="s">
        <v>93</v>
      </c>
      <c r="F17" s="36">
        <v>0</v>
      </c>
      <c r="G17" s="36">
        <v>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2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</sheetData>
  <mergeCells count="4">
    <mergeCell ref="A1:C1"/>
    <mergeCell ref="A3:C3"/>
    <mergeCell ref="A2:C2"/>
    <mergeCell ref="A4:B4"/>
  </mergeCells>
  <pageMargins left="0.78750000000000009" right="0.78750000000000009" top="1.052777777777778" bottom="1.052777777777778" header="0" footer="0"/>
  <pageSetup paperSize="9" orientation="portrait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8"/>
  <sheetViews>
    <sheetView workbookViewId="0">
      <pane ySplit="7" topLeftCell="A8" activePane="bottomLeft" state="frozen"/>
      <selection activeCell="B9" sqref="B9"/>
      <selection pane="bottomLeft"/>
    </sheetView>
  </sheetViews>
  <sheetFormatPr defaultColWidth="14.42578125" defaultRowHeight="15" customHeight="1"/>
  <cols>
    <col min="1" max="1" width="17.85546875" customWidth="1"/>
    <col min="2" max="2" width="39.140625" customWidth="1"/>
    <col min="3" max="3" width="65" customWidth="1"/>
    <col min="4" max="4" width="28.5703125" customWidth="1"/>
    <col min="5" max="5" width="38.7109375" customWidth="1"/>
    <col min="6" max="6" width="15.140625" customWidth="1"/>
    <col min="7" max="7" width="12.7109375" customWidth="1"/>
    <col min="8" max="27" width="9.140625" customWidth="1"/>
  </cols>
  <sheetData>
    <row r="1" spans="1:27" ht="15" customHeight="1">
      <c r="A1" s="48" t="s">
        <v>3</v>
      </c>
      <c r="B1" s="49"/>
      <c r="C1" s="50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25" customHeight="1">
      <c r="A2" s="54">
        <v>12</v>
      </c>
      <c r="B2" s="52"/>
      <c r="C2" s="53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>
      <c r="A3" s="51" t="s">
        <v>9</v>
      </c>
      <c r="B3" s="52"/>
      <c r="C3" s="53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6.5" customHeight="1">
      <c r="A4" s="55" t="s">
        <v>21</v>
      </c>
      <c r="B4" s="53"/>
      <c r="C4" s="19" t="s">
        <v>19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>
      <c r="A5" s="20" t="s">
        <v>22</v>
      </c>
      <c r="B5" s="20"/>
      <c r="C5" s="19" t="s">
        <v>94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" customHeight="1">
      <c r="A6" s="21" t="s">
        <v>24</v>
      </c>
      <c r="B6" s="21"/>
      <c r="C6" s="22" t="s">
        <v>95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>
      <c r="A8" s="32" t="s">
        <v>26</v>
      </c>
      <c r="B8" s="32" t="s">
        <v>27</v>
      </c>
      <c r="C8" s="32" t="s">
        <v>28</v>
      </c>
      <c r="D8" s="32" t="s">
        <v>29</v>
      </c>
      <c r="E8" s="32" t="s">
        <v>30</v>
      </c>
      <c r="F8" s="24" t="s">
        <v>31</v>
      </c>
      <c r="G8" s="24" t="s">
        <v>32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6.5" customHeight="1">
      <c r="A9" s="33">
        <v>1</v>
      </c>
      <c r="B9" s="34" t="s">
        <v>96</v>
      </c>
      <c r="C9" s="34" t="s">
        <v>97</v>
      </c>
      <c r="D9" s="34" t="s">
        <v>98</v>
      </c>
      <c r="E9" s="35" t="s">
        <v>99</v>
      </c>
      <c r="F9" s="36">
        <v>0</v>
      </c>
      <c r="G9" s="36">
        <v>1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18"/>
      <c r="Y9" s="18"/>
      <c r="Z9" s="18"/>
      <c r="AA9" s="18"/>
    </row>
    <row r="10" spans="1:27" ht="16.5" customHeight="1">
      <c r="A10" s="37">
        <v>2</v>
      </c>
      <c r="B10" s="38" t="s">
        <v>100</v>
      </c>
      <c r="C10" s="38" t="s">
        <v>101</v>
      </c>
      <c r="D10" s="38" t="s">
        <v>102</v>
      </c>
      <c r="E10" s="39"/>
      <c r="F10" s="40">
        <v>0</v>
      </c>
      <c r="G10" s="40">
        <v>1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18"/>
      <c r="Y10" s="18"/>
      <c r="Z10" s="18"/>
      <c r="AA10" s="18"/>
    </row>
    <row r="11" spans="1:27" ht="16.5" customHeight="1">
      <c r="A11" s="33">
        <v>3</v>
      </c>
      <c r="B11" s="34" t="s">
        <v>103</v>
      </c>
      <c r="C11" s="34" t="s">
        <v>104</v>
      </c>
      <c r="D11" s="34" t="s">
        <v>105</v>
      </c>
      <c r="E11" s="35" t="s">
        <v>106</v>
      </c>
      <c r="F11" s="36">
        <v>0</v>
      </c>
      <c r="G11" s="36"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6.5" customHeight="1">
      <c r="A12" s="37">
        <v>4</v>
      </c>
      <c r="B12" s="38" t="s">
        <v>107</v>
      </c>
      <c r="C12" s="38" t="s">
        <v>108</v>
      </c>
      <c r="D12" s="38" t="s">
        <v>109</v>
      </c>
      <c r="E12" s="39" t="s">
        <v>110</v>
      </c>
      <c r="F12" s="40">
        <v>0</v>
      </c>
      <c r="G12" s="40"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6.5" customHeight="1">
      <c r="A13" s="33">
        <v>5</v>
      </c>
      <c r="B13" s="34" t="s">
        <v>111</v>
      </c>
      <c r="C13" s="34" t="s">
        <v>112</v>
      </c>
      <c r="D13" s="34" t="s">
        <v>113</v>
      </c>
      <c r="E13" s="35"/>
      <c r="F13" s="36">
        <v>0</v>
      </c>
      <c r="G13" s="36">
        <v>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6.5" customHeight="1">
      <c r="A14" s="37">
        <v>6</v>
      </c>
      <c r="B14" s="38" t="s">
        <v>114</v>
      </c>
      <c r="C14" s="38" t="s">
        <v>115</v>
      </c>
      <c r="D14" s="38" t="s">
        <v>79</v>
      </c>
      <c r="E14" s="39"/>
      <c r="F14" s="40">
        <v>0</v>
      </c>
      <c r="G14" s="40">
        <v>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25" customHeight="1">
      <c r="A15" s="33">
        <v>7</v>
      </c>
      <c r="B15" s="34" t="s">
        <v>116</v>
      </c>
      <c r="C15" s="34" t="s">
        <v>91</v>
      </c>
      <c r="D15" s="34" t="s">
        <v>92</v>
      </c>
      <c r="E15" s="35" t="s">
        <v>93</v>
      </c>
      <c r="F15" s="36">
        <v>0</v>
      </c>
      <c r="G15" s="36"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25" customHeight="1">
      <c r="A16" s="37">
        <v>8</v>
      </c>
      <c r="B16" s="38" t="s">
        <v>117</v>
      </c>
      <c r="C16" s="38" t="s">
        <v>118</v>
      </c>
      <c r="D16" s="38" t="s">
        <v>119</v>
      </c>
      <c r="E16" s="39"/>
      <c r="F16" s="40">
        <v>0</v>
      </c>
      <c r="G16" s="40">
        <v>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25" customHeight="1">
      <c r="A17" s="33">
        <v>9</v>
      </c>
      <c r="B17" s="34" t="s">
        <v>120</v>
      </c>
      <c r="C17" s="34" t="s">
        <v>121</v>
      </c>
      <c r="D17" s="34" t="s">
        <v>122</v>
      </c>
      <c r="E17" s="35"/>
      <c r="F17" s="36">
        <v>1</v>
      </c>
      <c r="G17" s="36">
        <v>2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25" customHeight="1">
      <c r="A18" s="37">
        <v>10</v>
      </c>
      <c r="B18" s="38" t="s">
        <v>123</v>
      </c>
      <c r="C18" s="38" t="s">
        <v>124</v>
      </c>
      <c r="D18" s="38" t="s">
        <v>125</v>
      </c>
      <c r="E18" s="39"/>
      <c r="F18" s="40">
        <v>0</v>
      </c>
      <c r="G18" s="40">
        <v>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25" customHeight="1">
      <c r="A19" s="33">
        <v>11</v>
      </c>
      <c r="B19" s="34" t="s">
        <v>126</v>
      </c>
      <c r="C19" s="34" t="s">
        <v>127</v>
      </c>
      <c r="D19" s="34" t="s">
        <v>128</v>
      </c>
      <c r="E19" s="35" t="s">
        <v>129</v>
      </c>
      <c r="F19" s="36">
        <v>0</v>
      </c>
      <c r="G19" s="36">
        <v>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customHeight="1">
      <c r="A20" s="37">
        <v>12</v>
      </c>
      <c r="B20" s="38" t="s">
        <v>130</v>
      </c>
      <c r="C20" s="38" t="s">
        <v>131</v>
      </c>
      <c r="D20" s="38" t="s">
        <v>132</v>
      </c>
      <c r="E20" s="39" t="s">
        <v>133</v>
      </c>
      <c r="F20" s="40">
        <v>3</v>
      </c>
      <c r="G20" s="40">
        <v>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</sheetData>
  <mergeCells count="4">
    <mergeCell ref="A1:C1"/>
    <mergeCell ref="A3:C3"/>
    <mergeCell ref="A2:C2"/>
    <mergeCell ref="A4:B4"/>
  </mergeCells>
  <pageMargins left="0.78750000000000009" right="0.78750000000000009" top="1.052777777777778" bottom="1.052777777777778" header="0" footer="0"/>
  <pageSetup paperSize="9" orientation="portrait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98"/>
  <sheetViews>
    <sheetView workbookViewId="0">
      <pane ySplit="7" topLeftCell="A8" activePane="bottomLeft" state="frozen"/>
      <selection activeCell="B9" sqref="B9"/>
      <selection pane="bottomLeft" sqref="A1:C1"/>
    </sheetView>
  </sheetViews>
  <sheetFormatPr defaultColWidth="14.42578125" defaultRowHeight="15" customHeight="1"/>
  <cols>
    <col min="1" max="1" width="17.85546875" customWidth="1"/>
    <col min="2" max="2" width="39.140625" customWidth="1"/>
    <col min="3" max="3" width="65" customWidth="1"/>
    <col min="4" max="4" width="28.5703125" customWidth="1"/>
    <col min="5" max="5" width="38.7109375" customWidth="1"/>
    <col min="6" max="6" width="15.140625" customWidth="1"/>
    <col min="7" max="7" width="12.7109375" customWidth="1"/>
    <col min="8" max="27" width="9.140625" customWidth="1"/>
  </cols>
  <sheetData>
    <row r="1" spans="1:27" ht="15" customHeight="1">
      <c r="A1" s="48" t="s">
        <v>3</v>
      </c>
      <c r="B1" s="49"/>
      <c r="C1" s="50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25" customHeight="1">
      <c r="A2" s="54">
        <v>12</v>
      </c>
      <c r="B2" s="52"/>
      <c r="C2" s="53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>
      <c r="A3" s="51" t="s">
        <v>9</v>
      </c>
      <c r="B3" s="52"/>
      <c r="C3" s="53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6.5" customHeight="1">
      <c r="A4" s="55" t="s">
        <v>21</v>
      </c>
      <c r="B4" s="53"/>
      <c r="C4" s="19" t="s">
        <v>19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>
      <c r="A5" s="20" t="s">
        <v>22</v>
      </c>
      <c r="B5" s="20"/>
      <c r="C5" s="19" t="s">
        <v>134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" customHeight="1">
      <c r="A6" s="21" t="s">
        <v>24</v>
      </c>
      <c r="B6" s="21"/>
      <c r="C6" s="22" t="s">
        <v>135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>
      <c r="A8" s="32" t="s">
        <v>26</v>
      </c>
      <c r="B8" s="32" t="s">
        <v>27</v>
      </c>
      <c r="C8" s="32" t="s">
        <v>28</v>
      </c>
      <c r="D8" s="32" t="s">
        <v>29</v>
      </c>
      <c r="E8" s="32" t="s">
        <v>30</v>
      </c>
      <c r="F8" s="24" t="s">
        <v>31</v>
      </c>
      <c r="G8" s="24" t="s">
        <v>32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6.5" customHeight="1">
      <c r="A9" s="41">
        <v>1</v>
      </c>
      <c r="B9" s="42" t="s">
        <v>136</v>
      </c>
      <c r="C9" s="42" t="s">
        <v>137</v>
      </c>
      <c r="D9" s="42" t="s">
        <v>138</v>
      </c>
      <c r="E9" s="35"/>
      <c r="F9" s="36">
        <v>0</v>
      </c>
      <c r="G9" s="36">
        <v>1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18"/>
      <c r="Y9" s="18"/>
      <c r="Z9" s="18"/>
      <c r="AA9" s="18"/>
    </row>
    <row r="10" spans="1:27" ht="16.5" customHeight="1">
      <c r="A10" s="43">
        <v>2</v>
      </c>
      <c r="B10" s="44" t="s">
        <v>139</v>
      </c>
      <c r="C10" s="44" t="s">
        <v>140</v>
      </c>
      <c r="D10" s="44" t="s">
        <v>138</v>
      </c>
      <c r="E10" s="39"/>
      <c r="F10" s="40">
        <v>0</v>
      </c>
      <c r="G10" s="40">
        <v>1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18"/>
      <c r="Y10" s="18"/>
      <c r="Z10" s="18"/>
      <c r="AA10" s="18"/>
    </row>
    <row r="11" spans="1:27" ht="16.5" customHeight="1">
      <c r="A11" s="41">
        <v>3</v>
      </c>
      <c r="B11" s="42" t="s">
        <v>141</v>
      </c>
      <c r="C11" s="42" t="s">
        <v>142</v>
      </c>
      <c r="D11" s="42" t="s">
        <v>143</v>
      </c>
      <c r="E11" s="35" t="s">
        <v>144</v>
      </c>
      <c r="F11" s="36">
        <v>0</v>
      </c>
      <c r="G11" s="36">
        <v>1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6.5" customHeight="1">
      <c r="A12" s="43">
        <v>4</v>
      </c>
      <c r="B12" s="44" t="s">
        <v>145</v>
      </c>
      <c r="C12" s="44" t="s">
        <v>146</v>
      </c>
      <c r="D12" s="44" t="s">
        <v>147</v>
      </c>
      <c r="E12" s="39"/>
      <c r="F12" s="40">
        <v>0</v>
      </c>
      <c r="G12" s="40">
        <v>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6.5" customHeight="1">
      <c r="A13" s="41">
        <v>5</v>
      </c>
      <c r="B13" s="42" t="s">
        <v>148</v>
      </c>
      <c r="C13" s="42" t="s">
        <v>149</v>
      </c>
      <c r="D13" s="42" t="s">
        <v>150</v>
      </c>
      <c r="E13" s="35"/>
      <c r="F13" s="36">
        <v>0</v>
      </c>
      <c r="G13" s="36">
        <v>1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6.5" customHeight="1">
      <c r="A14" s="43">
        <v>6</v>
      </c>
      <c r="B14" s="44" t="s">
        <v>151</v>
      </c>
      <c r="C14" s="44" t="s">
        <v>152</v>
      </c>
      <c r="D14" s="44" t="s">
        <v>153</v>
      </c>
      <c r="E14" s="39"/>
      <c r="F14" s="40">
        <v>0</v>
      </c>
      <c r="G14" s="40">
        <v>1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25" customHeight="1">
      <c r="A15" s="41">
        <v>7</v>
      </c>
      <c r="B15" s="42" t="s">
        <v>154</v>
      </c>
      <c r="C15" s="42" t="s">
        <v>155</v>
      </c>
      <c r="D15" s="42" t="s">
        <v>156</v>
      </c>
      <c r="E15" s="35"/>
      <c r="F15" s="36">
        <v>0</v>
      </c>
      <c r="G15" s="36">
        <v>1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25" customHeight="1">
      <c r="A16" s="43">
        <v>8</v>
      </c>
      <c r="B16" s="44" t="s">
        <v>157</v>
      </c>
      <c r="C16" s="44" t="s">
        <v>158</v>
      </c>
      <c r="D16" s="44" t="s">
        <v>159</v>
      </c>
      <c r="E16" s="39"/>
      <c r="F16" s="40">
        <v>0</v>
      </c>
      <c r="G16" s="40">
        <v>1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25" customHeight="1">
      <c r="A17" s="41">
        <v>9</v>
      </c>
      <c r="B17" s="42" t="s">
        <v>160</v>
      </c>
      <c r="C17" s="42" t="s">
        <v>161</v>
      </c>
      <c r="D17" s="42" t="s">
        <v>162</v>
      </c>
      <c r="E17" s="35" t="s">
        <v>163</v>
      </c>
      <c r="F17" s="36">
        <v>0</v>
      </c>
      <c r="G17" s="36">
        <v>1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25" customHeight="1">
      <c r="A18" s="43">
        <v>10</v>
      </c>
      <c r="B18" s="44" t="s">
        <v>164</v>
      </c>
      <c r="C18" s="44" t="s">
        <v>165</v>
      </c>
      <c r="D18" s="44" t="s">
        <v>166</v>
      </c>
      <c r="E18" s="39" t="s">
        <v>167</v>
      </c>
      <c r="F18" s="40">
        <v>0</v>
      </c>
      <c r="G18" s="40">
        <v>1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25" customHeight="1">
      <c r="A19" s="41">
        <v>11</v>
      </c>
      <c r="B19" s="42" t="s">
        <v>168</v>
      </c>
      <c r="C19" s="42" t="s">
        <v>169</v>
      </c>
      <c r="D19" s="42" t="s">
        <v>170</v>
      </c>
      <c r="E19" s="35"/>
      <c r="F19" s="36">
        <v>0</v>
      </c>
      <c r="G19" s="36">
        <v>1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customHeight="1">
      <c r="A20" s="43">
        <v>12</v>
      </c>
      <c r="B20" s="44" t="s">
        <v>171</v>
      </c>
      <c r="C20" s="44" t="s">
        <v>172</v>
      </c>
      <c r="D20" s="44" t="s">
        <v>173</v>
      </c>
      <c r="E20" s="39"/>
      <c r="F20" s="40">
        <v>0</v>
      </c>
      <c r="G20" s="40">
        <v>1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4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4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4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4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4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4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4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4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4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4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4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4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4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4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4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4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4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</sheetData>
  <mergeCells count="4">
    <mergeCell ref="A1:C1"/>
    <mergeCell ref="A3:C3"/>
    <mergeCell ref="A2:C2"/>
    <mergeCell ref="A4:B4"/>
  </mergeCells>
  <pageMargins left="0.78750000000000009" right="0.78750000000000009" top="1.052777777777778" bottom="1.052777777777778" header="0" footer="0"/>
  <pageSetup paperSize="9" orientation="portrait"/>
  <headerFooter>
    <oddHeader>&amp;C&amp;A</oddHeader>
    <oddFooter>&amp;CPágina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tabSelected="1" workbookViewId="0">
      <selection activeCell="E16" sqref="E16"/>
    </sheetView>
  </sheetViews>
  <sheetFormatPr defaultRowHeight="15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</cols>
  <sheetData>
    <row r="1" spans="1:7" ht="15" customHeight="1">
      <c r="A1" s="48" t="s">
        <v>3</v>
      </c>
      <c r="B1" s="49"/>
      <c r="C1" s="50"/>
    </row>
    <row r="2" spans="1:7" ht="14.25" customHeight="1">
      <c r="A2" s="54">
        <v>6</v>
      </c>
      <c r="B2" s="52"/>
      <c r="C2" s="53"/>
    </row>
    <row r="3" spans="1:7" ht="15.75" customHeight="1">
      <c r="A3" s="51" t="s">
        <v>174</v>
      </c>
      <c r="B3" s="52"/>
      <c r="C3" s="53"/>
    </row>
    <row r="4" spans="1:7" ht="16.5" customHeight="1">
      <c r="A4" s="55" t="s">
        <v>21</v>
      </c>
      <c r="B4" s="53"/>
      <c r="C4" s="19" t="s">
        <v>19</v>
      </c>
      <c r="D4" s="18"/>
      <c r="E4" s="18"/>
      <c r="F4" s="18"/>
      <c r="G4" s="18"/>
    </row>
    <row r="5" spans="1:7" ht="15.75" customHeight="1">
      <c r="A5" s="20" t="s">
        <v>22</v>
      </c>
      <c r="B5" s="20"/>
      <c r="C5" s="19" t="s">
        <v>175</v>
      </c>
      <c r="D5" s="18"/>
      <c r="E5" s="18"/>
      <c r="F5" s="18"/>
      <c r="G5" s="18"/>
    </row>
    <row r="6" spans="1:7" ht="15" customHeight="1">
      <c r="A6" s="21" t="s">
        <v>24</v>
      </c>
      <c r="B6" s="21"/>
      <c r="C6" s="22" t="s">
        <v>176</v>
      </c>
      <c r="D6" s="18"/>
      <c r="E6" s="18"/>
      <c r="F6" s="18"/>
      <c r="G6" s="18"/>
    </row>
    <row r="7" spans="1:7" ht="15" customHeight="1">
      <c r="A7" s="18"/>
      <c r="B7" s="18"/>
      <c r="C7" s="18"/>
      <c r="D7" s="18"/>
      <c r="E7" s="18"/>
      <c r="F7" s="18"/>
      <c r="G7" s="18"/>
    </row>
    <row r="8" spans="1: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</row>
    <row r="9" spans="1:7" ht="72">
      <c r="A9" s="25">
        <v>1</v>
      </c>
      <c r="B9" s="26" t="s">
        <v>177</v>
      </c>
      <c r="C9" s="26" t="s">
        <v>178</v>
      </c>
      <c r="D9" s="26" t="s">
        <v>179</v>
      </c>
      <c r="E9" s="27" t="s">
        <v>180</v>
      </c>
      <c r="F9" s="27">
        <v>0</v>
      </c>
      <c r="G9" s="27">
        <v>1</v>
      </c>
    </row>
    <row r="10" spans="1:7" ht="43.5">
      <c r="A10" s="25">
        <v>2</v>
      </c>
      <c r="B10" s="26" t="s">
        <v>181</v>
      </c>
      <c r="C10" s="26" t="s">
        <v>182</v>
      </c>
      <c r="D10" s="26" t="s">
        <v>183</v>
      </c>
      <c r="E10" s="27" t="s">
        <v>184</v>
      </c>
      <c r="F10" s="27">
        <v>1</v>
      </c>
      <c r="G10" s="27">
        <v>1</v>
      </c>
    </row>
    <row r="11" spans="1:7" ht="57.75">
      <c r="A11" s="25">
        <v>3</v>
      </c>
      <c r="B11" s="26" t="s">
        <v>185</v>
      </c>
      <c r="C11" s="26" t="s">
        <v>186</v>
      </c>
      <c r="D11" s="26" t="s">
        <v>187</v>
      </c>
      <c r="E11" s="27" t="s">
        <v>180</v>
      </c>
      <c r="F11" s="27">
        <v>0</v>
      </c>
      <c r="G11" s="27">
        <v>1</v>
      </c>
    </row>
    <row r="12" spans="1:7" ht="43.5">
      <c r="A12" s="25">
        <v>4</v>
      </c>
      <c r="B12" s="26" t="s">
        <v>188</v>
      </c>
      <c r="C12" s="26" t="s">
        <v>189</v>
      </c>
      <c r="D12" s="26" t="s">
        <v>190</v>
      </c>
      <c r="E12" s="27" t="s">
        <v>180</v>
      </c>
      <c r="F12" s="27">
        <v>0</v>
      </c>
      <c r="G12" s="27">
        <v>1</v>
      </c>
    </row>
    <row r="13" spans="1:7" ht="72">
      <c r="A13" s="25">
        <v>5</v>
      </c>
      <c r="B13" s="26" t="s">
        <v>191</v>
      </c>
      <c r="C13" s="26" t="s">
        <v>192</v>
      </c>
      <c r="D13" s="26" t="s">
        <v>193</v>
      </c>
      <c r="E13" s="27" t="s">
        <v>180</v>
      </c>
      <c r="F13" s="27">
        <v>0</v>
      </c>
      <c r="G13" s="27">
        <v>1</v>
      </c>
    </row>
    <row r="14" spans="1:7" ht="43.5">
      <c r="A14" s="25">
        <v>6</v>
      </c>
      <c r="B14" s="26" t="s">
        <v>194</v>
      </c>
      <c r="C14" s="26" t="s">
        <v>195</v>
      </c>
      <c r="D14" s="26" t="s">
        <v>196</v>
      </c>
      <c r="E14" s="27" t="s">
        <v>180</v>
      </c>
      <c r="F14" s="27">
        <v>0</v>
      </c>
      <c r="G14" s="27">
        <v>1</v>
      </c>
    </row>
    <row r="15" spans="1:7">
      <c r="A15" s="25"/>
      <c r="B15" s="26"/>
      <c r="C15" s="26"/>
      <c r="D15" s="26"/>
      <c r="E15" s="27"/>
      <c r="F15" s="27"/>
      <c r="G15" s="27"/>
    </row>
    <row r="16" spans="1:7">
      <c r="A16" s="25"/>
      <c r="B16" s="26"/>
      <c r="C16" s="26"/>
      <c r="D16" s="26"/>
      <c r="E16" s="27"/>
      <c r="F16" s="27"/>
      <c r="G16" s="27"/>
    </row>
    <row r="17" spans="1:7">
      <c r="A17" s="25"/>
      <c r="B17" s="26"/>
      <c r="C17" s="26"/>
      <c r="D17" s="26"/>
      <c r="E17" s="27"/>
      <c r="F17" s="27"/>
      <c r="G17" s="27"/>
    </row>
    <row r="18" spans="1:7">
      <c r="A18" s="25"/>
      <c r="B18" s="26"/>
      <c r="C18" s="26"/>
      <c r="D18" s="26"/>
      <c r="E18" s="27"/>
      <c r="F18" s="27"/>
      <c r="G18" s="27"/>
    </row>
  </sheetData>
  <mergeCells count="4">
    <mergeCell ref="A1:C1"/>
    <mergeCell ref="A3:C3"/>
    <mergeCell ref="A2:C2"/>
    <mergeCell ref="A4: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/>
  </sheetViews>
  <sheetFormatPr defaultRowHeight="15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</cols>
  <sheetData>
    <row r="1" spans="1:7" ht="15" customHeight="1">
      <c r="A1" s="56" t="s">
        <v>3</v>
      </c>
      <c r="B1" s="57"/>
      <c r="C1" s="57"/>
    </row>
    <row r="2" spans="1:7" ht="14.25" customHeight="1">
      <c r="A2" s="59">
        <v>14</v>
      </c>
      <c r="B2" s="57"/>
      <c r="C2" s="57"/>
    </row>
    <row r="3" spans="1:7" ht="15.75" customHeight="1">
      <c r="A3" s="58" t="s">
        <v>197</v>
      </c>
      <c r="B3" s="57"/>
      <c r="C3" s="57"/>
    </row>
    <row r="4" spans="1:7" ht="16.5" customHeight="1">
      <c r="A4" s="55" t="s">
        <v>21</v>
      </c>
      <c r="B4" s="53"/>
      <c r="C4" s="19" t="s">
        <v>19</v>
      </c>
      <c r="D4" s="18"/>
      <c r="E4" s="18"/>
      <c r="F4" s="18"/>
      <c r="G4" s="18"/>
    </row>
    <row r="5" spans="1:7" ht="15.75" customHeight="1">
      <c r="A5" s="20" t="s">
        <v>22</v>
      </c>
      <c r="B5" s="20"/>
      <c r="C5" s="19" t="s">
        <v>198</v>
      </c>
      <c r="D5" s="18"/>
      <c r="E5" s="18"/>
      <c r="F5" s="18"/>
      <c r="G5" s="18"/>
    </row>
    <row r="6" spans="1:7" ht="15" customHeight="1">
      <c r="A6" s="21" t="s">
        <v>24</v>
      </c>
      <c r="B6" s="21"/>
      <c r="C6" s="22" t="s">
        <v>199</v>
      </c>
      <c r="D6" s="18"/>
      <c r="E6" s="18"/>
      <c r="F6" s="18"/>
      <c r="G6" s="18"/>
    </row>
    <row r="7" spans="1:7" ht="15" customHeight="1">
      <c r="A7" s="18"/>
      <c r="B7" s="18"/>
      <c r="C7" s="18"/>
      <c r="D7" s="18"/>
      <c r="E7" s="18"/>
      <c r="F7" s="18"/>
      <c r="G7" s="18"/>
    </row>
    <row r="8" spans="1: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</row>
    <row r="9" spans="1:7" ht="16.5" customHeight="1">
      <c r="A9" s="25">
        <v>1</v>
      </c>
      <c r="B9" s="26" t="s">
        <v>200</v>
      </c>
      <c r="C9" s="26" t="s">
        <v>201</v>
      </c>
      <c r="D9" s="26" t="s">
        <v>202</v>
      </c>
      <c r="E9" s="27"/>
      <c r="F9" s="27">
        <v>0</v>
      </c>
      <c r="G9" s="27">
        <v>1</v>
      </c>
    </row>
    <row r="10" spans="1:7" ht="16.5" customHeight="1">
      <c r="A10" s="25">
        <v>2</v>
      </c>
      <c r="B10" s="26" t="s">
        <v>203</v>
      </c>
      <c r="C10" s="26" t="s">
        <v>204</v>
      </c>
      <c r="D10" s="26" t="s">
        <v>205</v>
      </c>
      <c r="E10" s="27"/>
      <c r="F10" s="27">
        <v>0</v>
      </c>
      <c r="G10" s="27">
        <v>1</v>
      </c>
    </row>
    <row r="11" spans="1:7" ht="16.5" customHeight="1">
      <c r="A11" s="25">
        <v>3</v>
      </c>
      <c r="B11" s="26" t="s">
        <v>206</v>
      </c>
      <c r="C11" s="26" t="s">
        <v>207</v>
      </c>
      <c r="D11" s="26" t="s">
        <v>208</v>
      </c>
      <c r="E11" s="27"/>
      <c r="F11" s="27">
        <v>0</v>
      </c>
      <c r="G11" s="27">
        <v>1</v>
      </c>
    </row>
    <row r="12" spans="1:7" ht="16.5" customHeight="1">
      <c r="A12" s="25">
        <v>4</v>
      </c>
      <c r="B12" s="26" t="s">
        <v>209</v>
      </c>
      <c r="C12" s="26" t="s">
        <v>210</v>
      </c>
      <c r="D12" s="26" t="s">
        <v>211</v>
      </c>
      <c r="E12" s="27"/>
      <c r="F12" s="27">
        <v>0</v>
      </c>
      <c r="G12" s="27">
        <v>1</v>
      </c>
    </row>
    <row r="13" spans="1:7" ht="16.5" customHeight="1">
      <c r="A13" s="25">
        <v>5</v>
      </c>
      <c r="B13" s="26" t="s">
        <v>212</v>
      </c>
      <c r="C13" s="26" t="s">
        <v>213</v>
      </c>
      <c r="D13" s="26" t="s">
        <v>214</v>
      </c>
      <c r="E13" s="27"/>
      <c r="F13" s="27">
        <v>0</v>
      </c>
      <c r="G13" s="27">
        <v>1</v>
      </c>
    </row>
    <row r="14" spans="1:7" ht="16.5" customHeight="1">
      <c r="A14" s="25">
        <v>6</v>
      </c>
      <c r="B14" s="26" t="s">
        <v>215</v>
      </c>
      <c r="C14" s="26" t="s">
        <v>216</v>
      </c>
      <c r="D14" s="26" t="s">
        <v>217</v>
      </c>
      <c r="E14" s="27"/>
      <c r="F14" s="27">
        <v>0</v>
      </c>
      <c r="G14" s="27">
        <v>1</v>
      </c>
    </row>
    <row r="15" spans="1:7" ht="16.5" customHeight="1">
      <c r="A15" s="25">
        <v>7</v>
      </c>
      <c r="B15" s="26" t="s">
        <v>218</v>
      </c>
      <c r="C15" s="26" t="s">
        <v>219</v>
      </c>
      <c r="D15" s="26" t="s">
        <v>211</v>
      </c>
      <c r="E15" s="27"/>
      <c r="F15" s="27">
        <v>0</v>
      </c>
      <c r="G15" s="27">
        <v>1</v>
      </c>
    </row>
    <row r="16" spans="1:7" ht="16.5" customHeight="1">
      <c r="A16" s="25">
        <v>8</v>
      </c>
      <c r="B16" s="26" t="s">
        <v>220</v>
      </c>
      <c r="C16" s="26" t="s">
        <v>221</v>
      </c>
      <c r="D16" s="26" t="s">
        <v>222</v>
      </c>
      <c r="E16" s="27"/>
      <c r="F16" s="27">
        <v>0</v>
      </c>
      <c r="G16" s="27">
        <v>1</v>
      </c>
    </row>
    <row r="17" spans="1:7" ht="16.5" customHeight="1">
      <c r="A17" s="25">
        <v>9</v>
      </c>
      <c r="B17" s="26" t="s">
        <v>223</v>
      </c>
      <c r="C17" s="26" t="s">
        <v>224</v>
      </c>
      <c r="D17" s="26" t="s">
        <v>225</v>
      </c>
      <c r="E17" s="27"/>
      <c r="F17" s="27">
        <v>0</v>
      </c>
      <c r="G17" s="27">
        <v>1</v>
      </c>
    </row>
    <row r="18" spans="1:7" ht="16.5" customHeight="1">
      <c r="A18" s="25">
        <v>10</v>
      </c>
      <c r="B18" s="26" t="s">
        <v>226</v>
      </c>
      <c r="C18" s="26" t="s">
        <v>227</v>
      </c>
      <c r="D18" s="26" t="s">
        <v>228</v>
      </c>
      <c r="E18" s="27"/>
      <c r="F18" s="27">
        <v>0</v>
      </c>
      <c r="G18" s="27">
        <v>1</v>
      </c>
    </row>
    <row r="19" spans="1:7" ht="16.5" customHeight="1">
      <c r="A19" s="25">
        <v>11</v>
      </c>
      <c r="B19" s="26" t="s">
        <v>229</v>
      </c>
      <c r="C19" s="26" t="s">
        <v>230</v>
      </c>
      <c r="D19" s="26" t="s">
        <v>228</v>
      </c>
      <c r="E19" s="27"/>
      <c r="F19" s="27">
        <v>0</v>
      </c>
      <c r="G19" s="27">
        <v>1</v>
      </c>
    </row>
    <row r="20" spans="1:7" ht="16.5" customHeight="1">
      <c r="A20" s="25">
        <v>12</v>
      </c>
      <c r="B20" s="26" t="s">
        <v>231</v>
      </c>
      <c r="C20" s="26" t="s">
        <v>232</v>
      </c>
      <c r="D20" s="26" t="s">
        <v>233</v>
      </c>
      <c r="E20" s="27"/>
      <c r="F20" s="27">
        <v>0</v>
      </c>
      <c r="G20" s="27">
        <v>1</v>
      </c>
    </row>
    <row r="21" spans="1:7" ht="16.5" customHeight="1">
      <c r="A21" s="25">
        <v>13</v>
      </c>
      <c r="B21" s="26" t="s">
        <v>234</v>
      </c>
      <c r="C21" s="26" t="s">
        <v>235</v>
      </c>
      <c r="D21" s="26" t="s">
        <v>228</v>
      </c>
      <c r="E21" s="27"/>
      <c r="F21" s="27">
        <v>0</v>
      </c>
      <c r="G21" s="27">
        <v>1</v>
      </c>
    </row>
    <row r="22" spans="1:7" ht="16.5" customHeight="1">
      <c r="A22" s="25">
        <v>14</v>
      </c>
      <c r="B22" s="26" t="s">
        <v>236</v>
      </c>
      <c r="C22" s="26" t="s">
        <v>237</v>
      </c>
      <c r="D22" s="26" t="s">
        <v>228</v>
      </c>
      <c r="E22" s="27"/>
      <c r="F22" s="27">
        <v>0</v>
      </c>
      <c r="G22" s="27">
        <v>1</v>
      </c>
    </row>
    <row r="23" spans="1:7">
      <c r="A23" s="25"/>
      <c r="B23" s="26"/>
      <c r="C23" s="26"/>
      <c r="D23" s="26"/>
      <c r="E23" s="27"/>
      <c r="F23" s="27"/>
      <c r="G23" s="27"/>
    </row>
    <row r="24" spans="1:7">
      <c r="A24" s="25"/>
      <c r="B24" s="26"/>
      <c r="C24" s="26"/>
      <c r="D24" s="26"/>
      <c r="E24" s="27"/>
      <c r="F24" s="27"/>
      <c r="G24" s="27"/>
    </row>
    <row r="25" spans="1:7">
      <c r="A25" s="25"/>
      <c r="B25" s="26"/>
      <c r="C25" s="26"/>
      <c r="D25" s="26"/>
      <c r="E25" s="27"/>
      <c r="F25" s="27"/>
      <c r="G25" s="27"/>
    </row>
    <row r="26" spans="1:7">
      <c r="A26" s="25"/>
      <c r="B26" s="26"/>
      <c r="C26" s="26"/>
      <c r="D26" s="26"/>
      <c r="E26" s="27"/>
      <c r="F26" s="27"/>
      <c r="G26" s="27"/>
    </row>
    <row r="27" spans="1:7">
      <c r="A27" s="25"/>
      <c r="B27" s="26"/>
      <c r="C27" s="26"/>
      <c r="D27" s="26"/>
      <c r="E27" s="27"/>
      <c r="F27" s="27"/>
      <c r="G27" s="27"/>
    </row>
  </sheetData>
  <mergeCells count="4">
    <mergeCell ref="A1:C1"/>
    <mergeCell ref="A3:C3"/>
    <mergeCell ref="A2:C2"/>
    <mergeCell ref="A4:B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"/>
  <sheetViews>
    <sheetView workbookViewId="0"/>
  </sheetViews>
  <sheetFormatPr defaultRowHeight="15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</cols>
  <sheetData>
    <row r="1" spans="1:7" ht="15" customHeight="1">
      <c r="A1" s="56" t="s">
        <v>3</v>
      </c>
      <c r="B1" s="57"/>
      <c r="C1" s="57"/>
    </row>
    <row r="2" spans="1:7" ht="14.25" customHeight="1">
      <c r="A2" s="59">
        <v>17</v>
      </c>
      <c r="B2" s="57"/>
      <c r="C2" s="57"/>
    </row>
    <row r="3" spans="1:7" ht="15.75" customHeight="1">
      <c r="A3" s="58" t="s">
        <v>238</v>
      </c>
      <c r="B3" s="57"/>
      <c r="C3" s="57"/>
    </row>
    <row r="4" spans="1:7" ht="16.5" customHeight="1">
      <c r="A4" s="55" t="s">
        <v>21</v>
      </c>
      <c r="B4" s="53"/>
      <c r="C4" s="19" t="s">
        <v>19</v>
      </c>
      <c r="D4" s="18"/>
      <c r="E4" s="18"/>
      <c r="F4" s="18"/>
      <c r="G4" s="18"/>
    </row>
    <row r="5" spans="1:7" ht="15.75" customHeight="1">
      <c r="A5" s="20" t="s">
        <v>22</v>
      </c>
      <c r="B5" s="20"/>
      <c r="C5" s="19" t="s">
        <v>239</v>
      </c>
      <c r="D5" s="18"/>
      <c r="E5" s="18"/>
      <c r="F5" s="18"/>
      <c r="G5" s="18"/>
    </row>
    <row r="6" spans="1:7" ht="15" customHeight="1">
      <c r="A6" s="21" t="s">
        <v>24</v>
      </c>
      <c r="B6" s="21"/>
      <c r="C6" s="22" t="s">
        <v>240</v>
      </c>
      <c r="D6" s="18"/>
      <c r="E6" s="18"/>
      <c r="F6" s="18"/>
      <c r="G6" s="18"/>
    </row>
    <row r="7" spans="1:7" ht="15" customHeight="1">
      <c r="A7" s="18"/>
      <c r="B7" s="18"/>
      <c r="C7" s="18"/>
      <c r="D7" s="18"/>
      <c r="E7" s="18"/>
      <c r="F7" s="18"/>
      <c r="G7" s="18"/>
    </row>
    <row r="8" spans="1: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</row>
    <row r="9" spans="1:7" ht="16.5" customHeight="1">
      <c r="A9" s="25">
        <v>1</v>
      </c>
      <c r="B9" s="26" t="s">
        <v>241</v>
      </c>
      <c r="C9" s="26" t="s">
        <v>201</v>
      </c>
      <c r="D9" s="26" t="s">
        <v>242</v>
      </c>
      <c r="E9" s="27"/>
      <c r="F9" s="27">
        <v>0</v>
      </c>
      <c r="G9" s="27">
        <v>1</v>
      </c>
    </row>
    <row r="10" spans="1:7" ht="16.5" customHeight="1">
      <c r="A10" s="25">
        <v>2</v>
      </c>
      <c r="B10" s="26" t="s">
        <v>243</v>
      </c>
      <c r="C10" s="26" t="s">
        <v>207</v>
      </c>
      <c r="D10" s="26" t="s">
        <v>208</v>
      </c>
      <c r="E10" s="27"/>
      <c r="F10" s="27">
        <v>0</v>
      </c>
      <c r="G10" s="27">
        <v>1</v>
      </c>
    </row>
    <row r="11" spans="1:7" ht="16.5" customHeight="1">
      <c r="A11" s="25">
        <v>3</v>
      </c>
      <c r="B11" s="26" t="s">
        <v>244</v>
      </c>
      <c r="C11" s="26" t="s">
        <v>245</v>
      </c>
      <c r="D11" s="26" t="s">
        <v>246</v>
      </c>
      <c r="E11" s="27"/>
      <c r="F11" s="27">
        <v>0</v>
      </c>
      <c r="G11" s="27">
        <v>1</v>
      </c>
    </row>
    <row r="12" spans="1:7" ht="16.5" customHeight="1">
      <c r="A12" s="25">
        <v>4</v>
      </c>
      <c r="B12" s="26" t="s">
        <v>247</v>
      </c>
      <c r="C12" s="26" t="s">
        <v>248</v>
      </c>
      <c r="D12" s="26" t="s">
        <v>217</v>
      </c>
      <c r="E12" s="27"/>
      <c r="F12" s="27">
        <v>0</v>
      </c>
      <c r="G12" s="27">
        <v>1</v>
      </c>
    </row>
    <row r="13" spans="1:7" ht="16.5" customHeight="1">
      <c r="A13" s="25">
        <v>5</v>
      </c>
      <c r="B13" s="26" t="s">
        <v>249</v>
      </c>
      <c r="C13" s="26" t="s">
        <v>250</v>
      </c>
      <c r="D13" s="26" t="s">
        <v>217</v>
      </c>
      <c r="E13" s="27"/>
      <c r="F13" s="27">
        <v>0</v>
      </c>
      <c r="G13" s="27">
        <v>1</v>
      </c>
    </row>
    <row r="14" spans="1:7" ht="16.5" customHeight="1">
      <c r="A14" s="25">
        <v>6</v>
      </c>
      <c r="B14" s="26" t="s">
        <v>251</v>
      </c>
      <c r="C14" s="26" t="s">
        <v>252</v>
      </c>
      <c r="D14" s="26" t="s">
        <v>253</v>
      </c>
      <c r="E14" s="27"/>
      <c r="F14" s="27">
        <v>0</v>
      </c>
      <c r="G14" s="27">
        <v>1</v>
      </c>
    </row>
    <row r="15" spans="1:7" ht="16.5" customHeight="1">
      <c r="A15" s="25">
        <v>7</v>
      </c>
      <c r="B15" s="26" t="s">
        <v>254</v>
      </c>
      <c r="C15" s="26" t="s">
        <v>255</v>
      </c>
      <c r="D15" s="26" t="s">
        <v>211</v>
      </c>
      <c r="E15" s="27"/>
      <c r="F15" s="27">
        <v>0</v>
      </c>
      <c r="G15" s="27">
        <v>1</v>
      </c>
    </row>
    <row r="16" spans="1:7" ht="16.5" customHeight="1">
      <c r="A16" s="25">
        <v>8</v>
      </c>
      <c r="B16" s="26" t="s">
        <v>256</v>
      </c>
      <c r="C16" s="26" t="s">
        <v>257</v>
      </c>
      <c r="D16" s="26" t="s">
        <v>258</v>
      </c>
      <c r="E16" s="27"/>
      <c r="F16" s="27">
        <v>0</v>
      </c>
      <c r="G16" s="27">
        <v>1</v>
      </c>
    </row>
    <row r="17" spans="1:7" ht="16.5" customHeight="1">
      <c r="A17" s="25">
        <v>9</v>
      </c>
      <c r="B17" s="26" t="s">
        <v>259</v>
      </c>
      <c r="C17" s="26" t="s">
        <v>260</v>
      </c>
      <c r="D17" s="26" t="s">
        <v>211</v>
      </c>
      <c r="E17" s="27"/>
      <c r="F17" s="27">
        <v>0</v>
      </c>
      <c r="G17" s="27">
        <v>1</v>
      </c>
    </row>
    <row r="18" spans="1:7" ht="16.5" customHeight="1">
      <c r="A18" s="25">
        <v>10</v>
      </c>
      <c r="B18" s="26" t="s">
        <v>261</v>
      </c>
      <c r="C18" s="26" t="s">
        <v>262</v>
      </c>
      <c r="D18" s="26" t="s">
        <v>263</v>
      </c>
      <c r="E18" s="27"/>
      <c r="F18" s="27">
        <v>0</v>
      </c>
      <c r="G18" s="27">
        <v>1</v>
      </c>
    </row>
    <row r="19" spans="1:7" ht="16.5" customHeight="1">
      <c r="A19" s="25">
        <v>11</v>
      </c>
      <c r="B19" s="26" t="s">
        <v>264</v>
      </c>
      <c r="C19" s="26" t="s">
        <v>265</v>
      </c>
      <c r="D19" s="26" t="s">
        <v>266</v>
      </c>
      <c r="E19" s="27"/>
      <c r="F19" s="27">
        <v>0</v>
      </c>
      <c r="G19" s="27">
        <v>1</v>
      </c>
    </row>
    <row r="20" spans="1:7" ht="16.5" customHeight="1">
      <c r="A20" s="25">
        <v>12</v>
      </c>
      <c r="B20" s="26" t="s">
        <v>267</v>
      </c>
      <c r="C20" s="26" t="s">
        <v>268</v>
      </c>
      <c r="D20" s="26" t="s">
        <v>269</v>
      </c>
      <c r="E20" s="27"/>
      <c r="F20" s="27">
        <v>0</v>
      </c>
      <c r="G20" s="27">
        <v>1</v>
      </c>
    </row>
    <row r="21" spans="1:7" ht="16.5" customHeight="1">
      <c r="A21" s="25">
        <v>13</v>
      </c>
      <c r="B21" s="26" t="s">
        <v>270</v>
      </c>
      <c r="C21" s="26" t="s">
        <v>227</v>
      </c>
      <c r="D21" s="26" t="s">
        <v>228</v>
      </c>
      <c r="E21" s="27"/>
      <c r="F21" s="27">
        <v>0</v>
      </c>
      <c r="G21" s="27">
        <v>1</v>
      </c>
    </row>
    <row r="22" spans="1:7" ht="16.5" customHeight="1">
      <c r="A22" s="25">
        <v>14</v>
      </c>
      <c r="B22" s="26" t="s">
        <v>271</v>
      </c>
      <c r="C22" s="26" t="s">
        <v>272</v>
      </c>
      <c r="D22" s="26" t="s">
        <v>273</v>
      </c>
      <c r="E22" s="27"/>
      <c r="F22" s="27">
        <v>0</v>
      </c>
      <c r="G22" s="27">
        <v>1</v>
      </c>
    </row>
    <row r="23" spans="1:7" ht="16.5" customHeight="1">
      <c r="A23" s="25">
        <v>15</v>
      </c>
      <c r="B23" s="26" t="s">
        <v>274</v>
      </c>
      <c r="C23" s="26" t="s">
        <v>255</v>
      </c>
      <c r="D23" s="26" t="s">
        <v>228</v>
      </c>
      <c r="E23" s="27"/>
      <c r="F23" s="27">
        <v>0</v>
      </c>
      <c r="G23" s="27">
        <v>1</v>
      </c>
    </row>
    <row r="24" spans="1:7" ht="16.5" customHeight="1">
      <c r="A24" s="25">
        <v>16</v>
      </c>
      <c r="B24" s="26" t="s">
        <v>275</v>
      </c>
      <c r="C24" s="26" t="s">
        <v>276</v>
      </c>
      <c r="D24" s="26" t="s">
        <v>277</v>
      </c>
      <c r="E24" s="27"/>
      <c r="F24" s="27">
        <v>0</v>
      </c>
      <c r="G24" s="27">
        <v>1</v>
      </c>
    </row>
    <row r="25" spans="1:7" ht="16.5" customHeight="1">
      <c r="A25" s="25">
        <v>17</v>
      </c>
      <c r="B25" s="26" t="s">
        <v>278</v>
      </c>
      <c r="C25" s="26" t="s">
        <v>279</v>
      </c>
      <c r="D25" s="26" t="s">
        <v>228</v>
      </c>
      <c r="E25" s="27"/>
      <c r="F25" s="27">
        <v>0</v>
      </c>
      <c r="G25" s="27">
        <v>1</v>
      </c>
    </row>
    <row r="26" spans="1:7">
      <c r="A26" s="25"/>
      <c r="B26" s="26"/>
      <c r="C26" s="26"/>
      <c r="D26" s="26"/>
      <c r="E26" s="27"/>
      <c r="F26" s="27"/>
      <c r="G26" s="27"/>
    </row>
    <row r="27" spans="1:7">
      <c r="A27" s="25"/>
      <c r="B27" s="26"/>
      <c r="C27" s="26"/>
      <c r="D27" s="26"/>
      <c r="E27" s="27"/>
      <c r="F27" s="27"/>
      <c r="G27" s="27"/>
    </row>
    <row r="28" spans="1:7">
      <c r="A28" s="25"/>
      <c r="B28" s="26"/>
      <c r="C28" s="26"/>
      <c r="D28" s="26"/>
      <c r="E28" s="27"/>
      <c r="F28" s="27"/>
      <c r="G28" s="27"/>
    </row>
    <row r="29" spans="1:7">
      <c r="A29" s="25"/>
      <c r="B29" s="26"/>
      <c r="C29" s="26"/>
      <c r="D29" s="26"/>
      <c r="E29" s="27"/>
      <c r="F29" s="27"/>
      <c r="G29" s="27"/>
    </row>
    <row r="30" spans="1:7">
      <c r="A30" s="25"/>
      <c r="B30" s="26"/>
      <c r="C30" s="26"/>
      <c r="D30" s="26"/>
      <c r="E30" s="27"/>
      <c r="F30" s="27"/>
      <c r="G30" s="27"/>
    </row>
  </sheetData>
  <mergeCells count="4">
    <mergeCell ref="A1:C1"/>
    <mergeCell ref="A3:C3"/>
    <mergeCell ref="A2:C2"/>
    <mergeCell ref="A4:B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workbookViewId="0"/>
  </sheetViews>
  <sheetFormatPr defaultRowHeight="15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</cols>
  <sheetData>
    <row r="1" spans="1:7" ht="15" customHeight="1">
      <c r="A1" s="56" t="s">
        <v>3</v>
      </c>
      <c r="B1" s="57"/>
      <c r="C1" s="57"/>
    </row>
    <row r="2" spans="1:7" ht="14.25" customHeight="1">
      <c r="A2" s="59">
        <v>14</v>
      </c>
      <c r="B2" s="57"/>
      <c r="C2" s="57"/>
    </row>
    <row r="3" spans="1:7" ht="15.75" customHeight="1">
      <c r="A3" s="58" t="s">
        <v>13</v>
      </c>
      <c r="B3" s="57"/>
      <c r="C3" s="57"/>
    </row>
    <row r="4" spans="1:7" ht="16.5" customHeight="1">
      <c r="A4" s="55" t="s">
        <v>21</v>
      </c>
      <c r="B4" s="53"/>
      <c r="C4" s="19" t="s">
        <v>19</v>
      </c>
      <c r="D4" s="18"/>
      <c r="E4" s="18"/>
      <c r="F4" s="18"/>
      <c r="G4" s="18"/>
    </row>
    <row r="5" spans="1:7" ht="15.75" customHeight="1">
      <c r="A5" s="20" t="s">
        <v>22</v>
      </c>
      <c r="B5" s="20"/>
      <c r="C5" s="19" t="s">
        <v>280</v>
      </c>
      <c r="D5" s="18"/>
      <c r="E5" s="18"/>
      <c r="F5" s="18"/>
      <c r="G5" s="18"/>
    </row>
    <row r="6" spans="1:7" ht="15" customHeight="1">
      <c r="A6" s="21" t="s">
        <v>24</v>
      </c>
      <c r="B6" s="21"/>
      <c r="C6" s="22" t="s">
        <v>281</v>
      </c>
      <c r="D6" s="18"/>
      <c r="E6" s="18"/>
      <c r="F6" s="18"/>
      <c r="G6" s="18"/>
    </row>
    <row r="7" spans="1:7" ht="15" customHeight="1">
      <c r="A7" s="18"/>
      <c r="B7" s="18"/>
      <c r="C7" s="18"/>
      <c r="D7" s="18"/>
      <c r="E7" s="18"/>
      <c r="F7" s="18"/>
      <c r="G7" s="18"/>
    </row>
    <row r="8" spans="1: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</row>
    <row r="9" spans="1:7" ht="16.5" customHeight="1">
      <c r="A9" s="25">
        <v>1</v>
      </c>
      <c r="B9" s="26" t="s">
        <v>282</v>
      </c>
      <c r="C9" s="26" t="s">
        <v>283</v>
      </c>
      <c r="D9" s="26" t="s">
        <v>284</v>
      </c>
      <c r="E9" s="27"/>
      <c r="F9" s="27">
        <v>0</v>
      </c>
      <c r="G9" s="27">
        <v>1</v>
      </c>
    </row>
    <row r="10" spans="1:7" ht="16.5" customHeight="1">
      <c r="A10" s="25">
        <v>2</v>
      </c>
      <c r="B10" s="26" t="s">
        <v>285</v>
      </c>
      <c r="C10" s="26" t="s">
        <v>207</v>
      </c>
      <c r="D10" s="26" t="s">
        <v>208</v>
      </c>
      <c r="E10" s="27"/>
      <c r="F10" s="27">
        <v>0</v>
      </c>
      <c r="G10" s="27">
        <v>1</v>
      </c>
    </row>
    <row r="11" spans="1:7" ht="16.5" customHeight="1">
      <c r="A11" s="25">
        <v>3</v>
      </c>
      <c r="B11" s="26" t="s">
        <v>286</v>
      </c>
      <c r="C11" s="26" t="s">
        <v>287</v>
      </c>
      <c r="D11" s="26" t="s">
        <v>217</v>
      </c>
      <c r="E11" s="27"/>
      <c r="F11" s="27">
        <v>0</v>
      </c>
      <c r="G11" s="27">
        <v>1</v>
      </c>
    </row>
    <row r="12" spans="1:7" ht="16.5" customHeight="1">
      <c r="A12" s="25">
        <v>4</v>
      </c>
      <c r="B12" s="26" t="s">
        <v>288</v>
      </c>
      <c r="C12" s="26" t="s">
        <v>289</v>
      </c>
      <c r="D12" s="26" t="s">
        <v>217</v>
      </c>
      <c r="E12" s="27"/>
      <c r="F12" s="27">
        <v>0</v>
      </c>
      <c r="G12" s="27">
        <v>1</v>
      </c>
    </row>
    <row r="13" spans="1:7" ht="16.5" customHeight="1">
      <c r="A13" s="25">
        <v>5</v>
      </c>
      <c r="B13" s="26" t="s">
        <v>290</v>
      </c>
      <c r="C13" s="26" t="s">
        <v>291</v>
      </c>
      <c r="D13" s="26" t="s">
        <v>217</v>
      </c>
      <c r="E13" s="27"/>
      <c r="F13" s="27">
        <v>0</v>
      </c>
      <c r="G13" s="27">
        <v>1</v>
      </c>
    </row>
    <row r="14" spans="1:7" ht="16.5" customHeight="1">
      <c r="A14" s="25">
        <v>6</v>
      </c>
      <c r="B14" s="26" t="s">
        <v>292</v>
      </c>
      <c r="C14" s="26" t="s">
        <v>293</v>
      </c>
      <c r="D14" s="26" t="s">
        <v>217</v>
      </c>
      <c r="E14" s="27"/>
      <c r="F14" s="27">
        <v>0</v>
      </c>
      <c r="G14" s="27">
        <v>1</v>
      </c>
    </row>
    <row r="15" spans="1:7" ht="16.5" customHeight="1">
      <c r="A15" s="25">
        <v>7</v>
      </c>
      <c r="B15" s="26" t="s">
        <v>294</v>
      </c>
      <c r="C15" s="26" t="s">
        <v>295</v>
      </c>
      <c r="D15" s="26" t="s">
        <v>296</v>
      </c>
      <c r="E15" s="27"/>
      <c r="F15" s="27">
        <v>0</v>
      </c>
      <c r="G15" s="27">
        <v>1</v>
      </c>
    </row>
    <row r="16" spans="1:7" ht="16.5" customHeight="1">
      <c r="A16" s="25">
        <v>8</v>
      </c>
      <c r="B16" s="26" t="s">
        <v>297</v>
      </c>
      <c r="C16" s="26" t="s">
        <v>298</v>
      </c>
      <c r="D16" s="26" t="s">
        <v>299</v>
      </c>
      <c r="E16" s="27"/>
      <c r="F16" s="27">
        <v>0</v>
      </c>
      <c r="G16" s="27">
        <v>1</v>
      </c>
    </row>
    <row r="17" spans="1:7" ht="16.5" customHeight="1">
      <c r="A17" s="25">
        <v>9</v>
      </c>
      <c r="B17" s="26" t="s">
        <v>300</v>
      </c>
      <c r="C17" s="26" t="s">
        <v>268</v>
      </c>
      <c r="D17" s="26" t="s">
        <v>301</v>
      </c>
      <c r="E17" s="27"/>
      <c r="F17" s="27">
        <v>0</v>
      </c>
      <c r="G17" s="27">
        <v>1</v>
      </c>
    </row>
    <row r="18" spans="1:7" ht="16.5" customHeight="1">
      <c r="A18" s="25">
        <v>10</v>
      </c>
      <c r="B18" s="26" t="s">
        <v>302</v>
      </c>
      <c r="C18" s="26" t="s">
        <v>303</v>
      </c>
      <c r="D18" s="26" t="s">
        <v>228</v>
      </c>
      <c r="E18" s="27"/>
      <c r="F18" s="27">
        <v>0</v>
      </c>
      <c r="G18" s="27">
        <v>1</v>
      </c>
    </row>
    <row r="19" spans="1:7" ht="16.5" customHeight="1">
      <c r="A19" s="25">
        <v>11</v>
      </c>
      <c r="B19" s="26" t="s">
        <v>304</v>
      </c>
      <c r="C19" s="26" t="s">
        <v>305</v>
      </c>
      <c r="D19" s="26" t="s">
        <v>228</v>
      </c>
      <c r="E19" s="27"/>
      <c r="F19" s="27">
        <v>0</v>
      </c>
      <c r="G19" s="27">
        <v>1</v>
      </c>
    </row>
    <row r="20" spans="1:7" ht="16.5" customHeight="1">
      <c r="A20" s="25">
        <v>12</v>
      </c>
      <c r="B20" s="26" t="s">
        <v>306</v>
      </c>
      <c r="C20" s="26" t="s">
        <v>307</v>
      </c>
      <c r="D20" s="26" t="s">
        <v>228</v>
      </c>
      <c r="E20" s="27"/>
      <c r="F20" s="27">
        <v>0</v>
      </c>
      <c r="G20" s="27">
        <v>1</v>
      </c>
    </row>
    <row r="21" spans="1:7" ht="16.5" customHeight="1">
      <c r="A21" s="25">
        <v>13</v>
      </c>
      <c r="B21" s="26" t="s">
        <v>298</v>
      </c>
      <c r="C21" s="26" t="s">
        <v>308</v>
      </c>
      <c r="D21" s="26" t="s">
        <v>228</v>
      </c>
      <c r="E21" s="27"/>
      <c r="F21" s="27">
        <v>0</v>
      </c>
      <c r="G21" s="27">
        <v>1</v>
      </c>
    </row>
    <row r="22" spans="1:7" ht="16.5" customHeight="1">
      <c r="A22" s="25">
        <v>14</v>
      </c>
      <c r="B22" s="26" t="s">
        <v>309</v>
      </c>
      <c r="C22" s="26" t="s">
        <v>310</v>
      </c>
      <c r="D22" s="26" t="s">
        <v>228</v>
      </c>
      <c r="E22" s="27"/>
      <c r="F22" s="27">
        <v>0</v>
      </c>
      <c r="G22" s="27">
        <v>1</v>
      </c>
    </row>
    <row r="23" spans="1:7">
      <c r="A23" s="25"/>
      <c r="B23" s="26"/>
      <c r="C23" s="26"/>
      <c r="D23" s="26"/>
      <c r="E23" s="27"/>
      <c r="F23" s="27"/>
      <c r="G23" s="27"/>
    </row>
    <row r="24" spans="1:7">
      <c r="A24" s="25"/>
      <c r="B24" s="26"/>
      <c r="C24" s="26"/>
      <c r="D24" s="26"/>
      <c r="E24" s="27"/>
      <c r="F24" s="27"/>
      <c r="G24" s="27"/>
    </row>
    <row r="25" spans="1:7">
      <c r="A25" s="25"/>
      <c r="B25" s="26"/>
      <c r="C25" s="26"/>
      <c r="D25" s="26"/>
      <c r="E25" s="27"/>
      <c r="F25" s="27"/>
      <c r="G25" s="27"/>
    </row>
    <row r="26" spans="1:7">
      <c r="A26" s="25"/>
      <c r="B26" s="26"/>
      <c r="C26" s="26"/>
      <c r="D26" s="26"/>
      <c r="E26" s="27"/>
      <c r="F26" s="27"/>
      <c r="G26" s="27"/>
    </row>
    <row r="27" spans="1:7">
      <c r="A27" s="25"/>
      <c r="B27" s="26"/>
      <c r="C27" s="26"/>
      <c r="D27" s="26"/>
      <c r="E27" s="27"/>
      <c r="F27" s="27"/>
      <c r="G27" s="27"/>
    </row>
  </sheetData>
  <mergeCells count="4">
    <mergeCell ref="A1:C1"/>
    <mergeCell ref="A3:C3"/>
    <mergeCell ref="A2:C2"/>
    <mergeCell ref="A4:B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"/>
  <sheetViews>
    <sheetView workbookViewId="0"/>
  </sheetViews>
  <sheetFormatPr defaultRowHeight="15"/>
  <cols>
    <col min="1" max="1" width="17.85546875" customWidth="1"/>
    <col min="2" max="2" width="82.7109375" customWidth="1"/>
    <col min="3" max="3" width="13" customWidth="1"/>
    <col min="4" max="4" width="29" customWidth="1"/>
    <col min="5" max="5" width="38.7109375" customWidth="1"/>
    <col min="6" max="6" width="15.140625" customWidth="1"/>
    <col min="7" max="7" width="13" customWidth="1"/>
  </cols>
  <sheetData>
    <row r="1" spans="1:7" ht="15" customHeight="1">
      <c r="A1" s="56" t="s">
        <v>3</v>
      </c>
      <c r="B1" s="57"/>
      <c r="C1" s="57"/>
    </row>
    <row r="2" spans="1:7" ht="14.25" customHeight="1">
      <c r="A2" s="59">
        <v>6</v>
      </c>
      <c r="B2" s="57"/>
      <c r="C2" s="57"/>
    </row>
    <row r="3" spans="1:7" ht="15.75" customHeight="1">
      <c r="A3" s="58" t="s">
        <v>15</v>
      </c>
      <c r="B3" s="57"/>
      <c r="C3" s="57"/>
    </row>
    <row r="4" spans="1:7" ht="16.5" customHeight="1">
      <c r="A4" s="55" t="s">
        <v>21</v>
      </c>
      <c r="B4" s="53"/>
      <c r="C4" s="19" t="s">
        <v>19</v>
      </c>
      <c r="D4" s="18"/>
      <c r="E4" s="18"/>
      <c r="F4" s="18"/>
      <c r="G4" s="18"/>
    </row>
    <row r="5" spans="1:7" ht="15.75" customHeight="1">
      <c r="A5" s="20" t="s">
        <v>22</v>
      </c>
      <c r="B5" s="20"/>
      <c r="C5" s="19" t="s">
        <v>311</v>
      </c>
      <c r="D5" s="18"/>
      <c r="E5" s="18"/>
      <c r="F5" s="18"/>
      <c r="G5" s="18"/>
    </row>
    <row r="6" spans="1:7" ht="15" customHeight="1">
      <c r="A6" s="21" t="s">
        <v>24</v>
      </c>
      <c r="B6" s="21"/>
      <c r="C6" s="22" t="s">
        <v>312</v>
      </c>
      <c r="D6" s="18"/>
      <c r="E6" s="18"/>
      <c r="F6" s="18"/>
      <c r="G6" s="18"/>
    </row>
    <row r="7" spans="1:7" ht="15" customHeight="1">
      <c r="A7" s="18"/>
      <c r="B7" s="18"/>
      <c r="C7" s="18"/>
      <c r="D7" s="18"/>
      <c r="E7" s="18"/>
      <c r="F7" s="18"/>
      <c r="G7" s="18"/>
    </row>
    <row r="8" spans="1:7" ht="15" customHeight="1">
      <c r="A8" s="20" t="s">
        <v>26</v>
      </c>
      <c r="B8" s="20" t="s">
        <v>27</v>
      </c>
      <c r="C8" s="20" t="s">
        <v>28</v>
      </c>
      <c r="D8" s="23" t="s">
        <v>29</v>
      </c>
      <c r="E8" s="20" t="s">
        <v>30</v>
      </c>
      <c r="F8" s="24" t="s">
        <v>31</v>
      </c>
      <c r="G8" s="24" t="s">
        <v>32</v>
      </c>
    </row>
    <row r="9" spans="1:7" ht="16.5" customHeight="1">
      <c r="A9" s="25">
        <v>1</v>
      </c>
      <c r="B9" s="26" t="s">
        <v>313</v>
      </c>
      <c r="C9" s="26" t="s">
        <v>314</v>
      </c>
      <c r="D9" s="26" t="s">
        <v>315</v>
      </c>
      <c r="E9" s="27"/>
      <c r="F9" s="27">
        <v>0</v>
      </c>
      <c r="G9" s="27">
        <v>1</v>
      </c>
    </row>
    <row r="10" spans="1:7" ht="16.5" customHeight="1">
      <c r="A10" s="25">
        <v>2</v>
      </c>
      <c r="B10" s="26" t="s">
        <v>316</v>
      </c>
      <c r="C10" s="26" t="s">
        <v>317</v>
      </c>
      <c r="D10" s="26" t="s">
        <v>208</v>
      </c>
      <c r="E10" s="27"/>
      <c r="F10" s="27">
        <v>0</v>
      </c>
      <c r="G10" s="27">
        <v>1</v>
      </c>
    </row>
    <row r="11" spans="1:7" ht="16.5" customHeight="1">
      <c r="A11" s="25">
        <v>3</v>
      </c>
      <c r="B11" s="26" t="s">
        <v>318</v>
      </c>
      <c r="C11" s="26" t="s">
        <v>305</v>
      </c>
      <c r="D11" s="26" t="s">
        <v>319</v>
      </c>
      <c r="E11" s="27"/>
      <c r="F11" s="27">
        <v>0</v>
      </c>
      <c r="G11" s="27">
        <v>1</v>
      </c>
    </row>
    <row r="12" spans="1:7" ht="16.5" customHeight="1">
      <c r="A12" s="25">
        <v>4</v>
      </c>
      <c r="B12" s="26" t="s">
        <v>320</v>
      </c>
      <c r="C12" s="26" t="s">
        <v>321</v>
      </c>
      <c r="D12" s="26" t="s">
        <v>322</v>
      </c>
      <c r="E12" s="27"/>
      <c r="F12" s="27">
        <v>0</v>
      </c>
      <c r="G12" s="27">
        <v>1</v>
      </c>
    </row>
    <row r="13" spans="1:7" ht="16.5" customHeight="1">
      <c r="A13" s="25">
        <v>5</v>
      </c>
      <c r="B13" s="26" t="s">
        <v>323</v>
      </c>
      <c r="C13" s="26" t="s">
        <v>324</v>
      </c>
      <c r="D13" s="26" t="s">
        <v>266</v>
      </c>
      <c r="E13" s="27"/>
      <c r="F13" s="27">
        <v>0</v>
      </c>
      <c r="G13" s="27">
        <v>1</v>
      </c>
    </row>
    <row r="14" spans="1:7" ht="16.5" customHeight="1">
      <c r="A14" s="25">
        <v>6</v>
      </c>
      <c r="B14" s="26" t="s">
        <v>325</v>
      </c>
      <c r="C14" s="26" t="s">
        <v>326</v>
      </c>
      <c r="D14" s="26" t="s">
        <v>228</v>
      </c>
      <c r="E14" s="27"/>
      <c r="F14" s="27">
        <v>0</v>
      </c>
      <c r="G14" s="27">
        <v>1</v>
      </c>
    </row>
    <row r="15" spans="1:7">
      <c r="A15" s="25"/>
      <c r="B15" s="26"/>
      <c r="C15" s="26"/>
      <c r="D15" s="26"/>
      <c r="E15" s="27"/>
      <c r="F15" s="27"/>
      <c r="G15" s="27"/>
    </row>
    <row r="16" spans="1:7">
      <c r="A16" s="25"/>
      <c r="B16" s="26"/>
      <c r="C16" s="26"/>
      <c r="D16" s="26"/>
      <c r="E16" s="27"/>
      <c r="F16" s="27"/>
      <c r="G16" s="27"/>
    </row>
    <row r="17" spans="1:7">
      <c r="A17" s="25"/>
      <c r="B17" s="26"/>
      <c r="C17" s="26"/>
      <c r="D17" s="26"/>
      <c r="E17" s="27"/>
      <c r="F17" s="27"/>
      <c r="G17" s="27"/>
    </row>
    <row r="18" spans="1:7">
      <c r="A18" s="25"/>
      <c r="B18" s="26"/>
      <c r="C18" s="26"/>
      <c r="D18" s="26"/>
      <c r="E18" s="27"/>
      <c r="F18" s="27"/>
      <c r="G18" s="27"/>
    </row>
    <row r="19" spans="1:7">
      <c r="A19" s="25"/>
      <c r="B19" s="26"/>
      <c r="C19" s="26"/>
      <c r="D19" s="26"/>
      <c r="E19" s="27"/>
      <c r="F19" s="27"/>
      <c r="G19" s="27"/>
    </row>
  </sheetData>
  <mergeCells count="4">
    <mergeCell ref="A1:C1"/>
    <mergeCell ref="A3:C3"/>
    <mergeCell ref="A2:C2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Capa</vt:lpstr>
      <vt:lpstr>AUX</vt:lpstr>
      <vt:lpstr>UC-Buscar Impressoras 3D</vt:lpstr>
      <vt:lpstr>UC-Realizar Cadastro</vt:lpstr>
      <vt:lpstr>UC-Solicitar Cadastro</vt:lpstr>
      <vt:lpstr>UC-Solicitar Pedido</vt:lpstr>
      <vt:lpstr>UC-Visualizar Detalhes</vt:lpstr>
      <vt:lpstr>UC-Manter Serviços - Pedidos</vt:lpstr>
      <vt:lpstr>UC-Manter Serviços - Serviços</vt:lpstr>
      <vt:lpstr>UC-Avaliar Maker</vt:lpstr>
      <vt:lpstr>UC-Consultar Avaliações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Murakami</dc:creator>
  <cp:lastModifiedBy>Adriano Júnior</cp:lastModifiedBy>
  <cp:revision>6</cp:revision>
  <dcterms:created xsi:type="dcterms:W3CDTF">2015-11-17T16:06:06Z</dcterms:created>
  <dcterms:modified xsi:type="dcterms:W3CDTF">2026-06-02T16:11:19Z</dcterms:modified>
</cp:coreProperties>
</file>